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LaeHomes\00 MARKETING Y COMUNICACION\60 HOME STAGING\"/>
    </mc:Choice>
  </mc:AlternateContent>
  <xr:revisionPtr revIDLastSave="0" documentId="13_ncr:1_{8C0E2BBC-09C1-4AFF-9C72-8D3EE3737D91}" xr6:coauthVersionLast="47" xr6:coauthVersionMax="47" xr10:uidLastSave="{00000000-0000-0000-0000-000000000000}"/>
  <bookViews>
    <workbookView xWindow="-108" yWindow="-108" windowWidth="23256" windowHeight="12456" xr2:uid="{5C988CD9-6E76-408F-B865-F04E4CE038A0}"/>
  </bookViews>
  <sheets>
    <sheet name="COMPRAS" sheetId="2" r:id="rId1"/>
    <sheet name="STOCK" sheetId="3" r:id="rId2"/>
  </sheets>
  <definedNames>
    <definedName name="_xlnm._FilterDatabase" localSheetId="0" hidden="1">COMPRAS!$A$109:$F$318</definedName>
    <definedName name="_xlnm._FilterDatabase" localSheetId="1" hidden="1">STOCK!$A$2:$L$326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18" i="2" l="1"/>
  <c r="E317" i="2"/>
  <c r="E316" i="2"/>
  <c r="E315" i="2"/>
  <c r="E314" i="2"/>
  <c r="E313" i="2"/>
  <c r="E312" i="2"/>
  <c r="E311" i="2"/>
  <c r="E310" i="2"/>
  <c r="E309" i="2"/>
  <c r="E308" i="2"/>
  <c r="E106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358" i="2"/>
  <c r="E359" i="2"/>
  <c r="E360" i="2"/>
  <c r="E361" i="2"/>
  <c r="E357" i="2"/>
  <c r="E105" i="2"/>
  <c r="E104" i="2"/>
  <c r="E103" i="2"/>
  <c r="E102" i="2"/>
  <c r="E101" i="2"/>
  <c r="E100" i="2"/>
  <c r="E96" i="2"/>
  <c r="E97" i="2"/>
  <c r="E98" i="2"/>
  <c r="E99" i="2"/>
  <c r="E95" i="2"/>
  <c r="E94" i="2"/>
  <c r="E91" i="2"/>
  <c r="E92" i="2"/>
  <c r="E93" i="2"/>
  <c r="E287" i="2"/>
  <c r="E286" i="2"/>
  <c r="E285" i="2"/>
  <c r="E284" i="2"/>
  <c r="E283" i="2"/>
  <c r="E282" i="2"/>
  <c r="E281" i="2"/>
  <c r="E280" i="2"/>
  <c r="E279" i="2"/>
  <c r="E90" i="2"/>
  <c r="E89" i="2"/>
  <c r="E88" i="2"/>
  <c r="E87" i="2"/>
  <c r="E83" i="2"/>
  <c r="E84" i="2"/>
  <c r="E85" i="2"/>
  <c r="E86" i="2"/>
  <c r="E278" i="2"/>
  <c r="E277" i="2"/>
  <c r="E81" i="2"/>
  <c r="E82" i="2"/>
  <c r="E80" i="2"/>
  <c r="E79" i="2"/>
  <c r="E62" i="2"/>
  <c r="E63" i="2"/>
  <c r="E78" i="2"/>
  <c r="E77" i="2"/>
  <c r="E76" i="2"/>
  <c r="E75" i="2"/>
  <c r="E74" i="2"/>
  <c r="E73" i="2"/>
  <c r="E72" i="2"/>
  <c r="E69" i="2"/>
  <c r="E68" i="2"/>
  <c r="E67" i="2"/>
  <c r="E66" i="2"/>
  <c r="E65" i="2"/>
  <c r="E64" i="2"/>
  <c r="E362" i="2" l="1"/>
  <c r="E61" i="2"/>
  <c r="E60" i="2"/>
  <c r="E59" i="2"/>
  <c r="E58" i="2"/>
  <c r="E57" i="2"/>
  <c r="E9" i="2"/>
  <c r="E56" i="2"/>
  <c r="E55" i="2"/>
  <c r="E54" i="2"/>
  <c r="E276" i="2" l="1"/>
  <c r="E275" i="2"/>
  <c r="E274" i="2"/>
  <c r="E166" i="2"/>
  <c r="E165" i="2"/>
  <c r="E273" i="2"/>
  <c r="E272" i="2"/>
  <c r="E271" i="2"/>
  <c r="E270" i="2"/>
  <c r="E150" i="2"/>
  <c r="E261" i="2"/>
  <c r="E53" i="2"/>
  <c r="E52" i="2"/>
  <c r="E51" i="2"/>
  <c r="E50" i="2"/>
  <c r="E49" i="2"/>
  <c r="E48" i="2"/>
  <c r="E47" i="2"/>
  <c r="E269" i="2"/>
  <c r="E268" i="2"/>
  <c r="E267" i="2"/>
  <c r="E266" i="2"/>
  <c r="E265" i="2"/>
  <c r="E264" i="2"/>
  <c r="E263" i="2"/>
  <c r="E262" i="2"/>
  <c r="E343" i="2"/>
  <c r="E344" i="2"/>
  <c r="E345" i="2"/>
  <c r="E346" i="2"/>
  <c r="E347" i="2"/>
  <c r="E342" i="2"/>
  <c r="E341" i="2"/>
  <c r="E340" i="2"/>
  <c r="E339" i="2"/>
  <c r="E338" i="2"/>
  <c r="E333" i="2"/>
  <c r="E334" i="2"/>
  <c r="E335" i="2"/>
  <c r="E336" i="2"/>
  <c r="E337" i="2"/>
  <c r="E45" i="2"/>
  <c r="E46" i="2"/>
  <c r="E44" i="2"/>
  <c r="E260" i="2"/>
  <c r="E259" i="2"/>
  <c r="E258" i="2"/>
  <c r="E257" i="2"/>
  <c r="E256" i="2"/>
  <c r="E255" i="2"/>
  <c r="E254" i="2"/>
  <c r="E253" i="2"/>
  <c r="E252" i="2"/>
  <c r="E244" i="2"/>
  <c r="E245" i="2"/>
  <c r="E246" i="2"/>
  <c r="E247" i="2"/>
  <c r="E248" i="2"/>
  <c r="E249" i="2"/>
  <c r="E250" i="2"/>
  <c r="E251" i="2"/>
  <c r="E41" i="2"/>
  <c r="E33" i="2"/>
  <c r="E237" i="2"/>
  <c r="E236" i="2"/>
  <c r="E234" i="2"/>
  <c r="E206" i="2"/>
  <c r="E181" i="2"/>
  <c r="E149" i="2"/>
  <c r="E243" i="2"/>
  <c r="E242" i="2"/>
  <c r="E241" i="2"/>
  <c r="E240" i="2"/>
  <c r="E239" i="2"/>
  <c r="E37" i="2"/>
  <c r="E42" i="2"/>
  <c r="E43" i="2"/>
  <c r="E238" i="2"/>
  <c r="E235" i="2"/>
  <c r="E233" i="2"/>
  <c r="E232" i="2"/>
  <c r="E231" i="2"/>
  <c r="E230" i="2"/>
  <c r="E229" i="2"/>
  <c r="E228" i="2"/>
  <c r="E227" i="2"/>
  <c r="E224" i="2"/>
  <c r="E225" i="2"/>
  <c r="E226" i="2"/>
  <c r="E223" i="2"/>
  <c r="E36" i="2"/>
  <c r="E222" i="2" l="1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5" i="2"/>
  <c r="E204" i="2"/>
  <c r="E332" i="2"/>
  <c r="E331" i="2"/>
  <c r="D40" i="2" l="1"/>
  <c r="E40" i="2" s="1"/>
  <c r="E39" i="2"/>
  <c r="E38" i="2"/>
  <c r="E35" i="2"/>
  <c r="E203" i="2"/>
  <c r="E202" i="2"/>
  <c r="E201" i="2"/>
  <c r="E200" i="2"/>
  <c r="E199" i="2"/>
  <c r="E198" i="2"/>
  <c r="E197" i="2"/>
  <c r="E196" i="2"/>
  <c r="E34" i="2"/>
  <c r="E32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59" i="2"/>
  <c r="E160" i="2"/>
  <c r="E161" i="2"/>
  <c r="E162" i="2"/>
  <c r="E163" i="2"/>
  <c r="E164" i="2"/>
  <c r="E167" i="2"/>
  <c r="E158" i="2"/>
  <c r="E157" i="2"/>
  <c r="E147" i="2"/>
  <c r="E151" i="2" l="1"/>
  <c r="E152" i="2"/>
  <c r="E153" i="2"/>
  <c r="E154" i="2"/>
  <c r="E155" i="2"/>
  <c r="E156" i="2"/>
  <c r="E148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328" i="2" l="1"/>
  <c r="E329" i="2"/>
  <c r="E330" i="2"/>
  <c r="E327" i="2"/>
  <c r="E324" i="2"/>
  <c r="E325" i="2"/>
  <c r="E326" i="2"/>
  <c r="E3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31" i="2"/>
  <c r="E30" i="2"/>
  <c r="E107" i="2" s="1"/>
  <c r="E25" i="2"/>
  <c r="E26" i="2"/>
  <c r="E24" i="2"/>
  <c r="E20" i="2"/>
  <c r="E19" i="2"/>
  <c r="E18" i="2"/>
  <c r="E17" i="2"/>
  <c r="E13" i="2"/>
  <c r="E5" i="2"/>
  <c r="E4" i="2"/>
  <c r="E319" i="2" l="1"/>
  <c r="E348" i="2"/>
  <c r="E27" i="2"/>
  <c r="E6" i="2"/>
  <c r="E21" i="2"/>
  <c r="I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tc={D04F6F8B-13C2-45BA-ACF4-A1100C54D8CE}</author>
  </authors>
  <commentList>
    <comment ref="L9" authorId="0" shapeId="0" xr:uid="{D04F6F8B-13C2-45BA-ACF4-A1100C54D8CE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Beige
</t>
        </r>
      </text>
    </comment>
  </commentList>
</comments>
</file>

<file path=xl/sharedStrings.xml><?xml version="1.0" encoding="utf-8"?>
<sst xmlns="http://schemas.openxmlformats.org/spreadsheetml/2006/main" count="1777" uniqueCount="905">
  <si>
    <t>ZARA HOME</t>
  </si>
  <si>
    <t>UNIDADES</t>
  </si>
  <si>
    <t>PRECIO UNITARIO</t>
  </si>
  <si>
    <t>TOTAL</t>
  </si>
  <si>
    <t>Colchas matrimonio</t>
  </si>
  <si>
    <t>https://www.zarahome.com/es/colcha-algodon-lisa-l41132006?categoryId=0&amp;colorId=250&amp;srch=true</t>
  </si>
  <si>
    <t>Colchas individuales</t>
  </si>
  <si>
    <t>SKLUM</t>
  </si>
  <si>
    <t>Hamacas terraza/jardín</t>
  </si>
  <si>
    <t>https://www.sklum.com/es/comprar-hamacas/102986-hamaca-plegable-con-cojin-en-madera-kardis.html?id_c=204899</t>
  </si>
  <si>
    <t>https://www.sklum.com/es/comprar-hamacas/102986-hamaca-plegable-con-cojin-en-madera-kardis.html?id_c=334608</t>
  </si>
  <si>
    <t>CASA</t>
  </si>
  <si>
    <t>Mesa auxiliar jardín</t>
  </si>
  <si>
    <t>https://es.casashops.com/es/productos/joshua-mesa-plegable-602777/602777/?gclid=EAIaIQobChMIxc_D1u69gAMVWkJBAh2gQA2WEAQYAyABEgLjUvD_BwE</t>
  </si>
  <si>
    <t>H&amp;M</t>
  </si>
  <si>
    <t>Pack 2 fundas de cojín beige y beige claro</t>
  </si>
  <si>
    <t>https://www2.hm.com/es_es/productpage.1088417001.html</t>
  </si>
  <si>
    <t>Funda cojín lino lavado 50*50 beige grisáceo</t>
  </si>
  <si>
    <t>https://www2.hm.com/es_es/productpage.0502190082.html</t>
  </si>
  <si>
    <t>Funda cojín lino lavado 50*50 albaricoque</t>
  </si>
  <si>
    <t>https://www2.hm.com/es_es/productpage.0502190066.html</t>
  </si>
  <si>
    <t>Funda cojín lino lavado 50*50 beige lino</t>
  </si>
  <si>
    <t>https://www2.hm.com/es_es/productpage.0502190003.html</t>
  </si>
  <si>
    <t>MANGO</t>
  </si>
  <si>
    <t>Funda cojín 30*50 azul petróleo</t>
  </si>
  <si>
    <t>https://shop.mango.com/es/home/fundas-cojines-lisas/funda-de-cojin-100-algodon-30x50cm_57022524.html?c=59&amp;t=02</t>
  </si>
  <si>
    <t>Funda cojín 30*50 verde</t>
  </si>
  <si>
    <t>https://shop.mango.com/es/home/fundas-cojines-lisas/funda-de-cojin-100-algodon-30x50cm_57022524.html?c=43&amp;t=02</t>
  </si>
  <si>
    <t>Funda cojín 30*50 beige</t>
  </si>
  <si>
    <t>https://shop.mango.com/es/home/fundas-cojines-lisas/funda-de-cojin-100-algodon-30x50cm_57022524.html?c=08&amp;t=02</t>
  </si>
  <si>
    <t>AMAZON</t>
  </si>
  <si>
    <t>Relleno cojines 30x50</t>
  </si>
  <si>
    <t>https://www.amazon.es/gp/product/B09RBCKC4H/ref=ppx_yo_dt_b_asin_title_o00_s00?ie=UTF8&amp;th=1</t>
  </si>
  <si>
    <t>Relleno cojines 50x50</t>
  </si>
  <si>
    <t>Láminas decorativas pared</t>
  </si>
  <si>
    <t>https://www.amazon.es/gp/product/B0B4T38H17/ref=ppx_yo_dt_b_asin_title_o00_s00?ie=UTF8&amp;psc=1</t>
  </si>
  <si>
    <t>Láminas decorativas 30x40 pack 6</t>
  </si>
  <si>
    <t>https://www.amazon.es/gp/product/B0CLYCGFPL/ref=ppx_yo_dt_b_asin_title_o01_s00?ie=UTF8&amp;psc=1</t>
  </si>
  <si>
    <t>Marcos de fotos 15x10</t>
  </si>
  <si>
    <t>https://www.amazon.es/gp/product/B00JI1Q9NE/ref=ox_sc_act_image_2?smid=A1AT7YVPFBWXBL&amp;psc=1</t>
  </si>
  <si>
    <t>Colcha para cama de 90</t>
  </si>
  <si>
    <t>https://www.amazon.es/gp/your-account/order-details/ref=ppx_yo_dt_b_order_details_o00?ie=UTF8&amp;orderID=171-7723047-3607519</t>
  </si>
  <si>
    <t>1 Rincón de la victoria</t>
  </si>
  <si>
    <t>Colcha para cama de 150/cubre sofá</t>
  </si>
  <si>
    <t>https://www.amazon.es/gp/product/B09YRMD532/ref=ppx_yo_dt_b_search_asin_title?ie=UTF8&amp;th=1</t>
  </si>
  <si>
    <t>2 Rincón de la Victoria</t>
  </si>
  <si>
    <t>Colcha para cama de 105</t>
  </si>
  <si>
    <t>https://www.amazon.es/gp/product/B09YRDWNJ5/ref=ppx_yo_dt_b_asin_title_o06_s00?ie=UTF8&amp;th=1</t>
  </si>
  <si>
    <t>Pack 2 bombillas E14</t>
  </si>
  <si>
    <t>https://www.amazon.es/gp/your-account/order-details/ref=ppx_yo_dt_b_order_details_o01?ie=UTF8&amp;orderID=171-5338494-6494761</t>
  </si>
  <si>
    <t>Edredón cama de 90</t>
  </si>
  <si>
    <t>https://www.amazon.es/gp/your-account/order-details/ref=ppx_yo_dt_b_order_details_o02?ie=UTF8&amp;orderID=171-2829243-9633123</t>
  </si>
  <si>
    <t>Manta cubre sillón</t>
  </si>
  <si>
    <t>https://www.amazon.es/gp/product/B0913KK3DR/ref=ppx_od_dt_b_asin_title_s00?ie=UTF8&amp;th=1</t>
  </si>
  <si>
    <t>2 Rincón de la victoria</t>
  </si>
  <si>
    <t>Manta cubre sillón 230*260</t>
  </si>
  <si>
    <t>https://www.amazon.es/gp/product/B073Q417SG/ref=ppx_od_dt_b_asin_title_s00?ie=UTF8&amp;th=1</t>
  </si>
  <si>
    <t>10 manzanas artificiales</t>
  </si>
  <si>
    <t>https://www.amazon.es/gp/product/B083DR37GD/ref=ppx_yo_dt_b_asin_title_o07_s00?ie=UTF8&amp;psc=1</t>
  </si>
  <si>
    <t>8 limones artificiales</t>
  </si>
  <si>
    <t>https://www.amazon.es/gp/product/B0CCVQMV9N/ref=ppx_yo_dt_b_asin_image_o08_s00?ie=UTF8&amp;psc=1</t>
  </si>
  <si>
    <t>Pack 3 láminas mix flores chica ojo  50x70</t>
  </si>
  <si>
    <t>https://www.amazon.es/gp/product/B0CMJFKBD2/ref=ppx_yo_dt_b_asin_image_o02_s00?ie=UTF8&amp;th=1</t>
  </si>
  <si>
    <t>Pack 3 láminas paisaje beigerosa  50x70</t>
  </si>
  <si>
    <t>https://www.amazon.es/gp/product/B09HX98F9M/ref=ppx_yo_dt_b_asin_title_o04_s00?ie=UTF8&amp;psc=1</t>
  </si>
  <si>
    <t>Lámina hojas verdes 100x70</t>
  </si>
  <si>
    <t>https://www.amazon.es/gp/product/B07ZH45TMK/ref=ppx_yo_dt_b_asin_title_o03_s00?ie=UTF8&amp;th=1</t>
  </si>
  <si>
    <t>Artscope Juego de 2 Fundas de Cojines Decorativas Cuadradas de Lino 30 x 50</t>
  </si>
  <si>
    <t>https://www.amazon.es/gp/product/B0C84WV5LW/ref=ppx_yo_dt_b_asin_title_o05_s00?ie=UTF8&amp;th=1</t>
  </si>
  <si>
    <t xml:space="preserve">Nacnic Set de 6 Posters de Henri Matisse. Vegetacion. </t>
  </si>
  <si>
    <t>https://www.amazon.es/gp/product/B0BM9HJJBL/ref=ppx_yo_dt_b_asin_title_o04_s02?ie=UTF8&amp;psc=1</t>
  </si>
  <si>
    <t>Nacnic Set de 6 Posters Matisse. Colección de láminas A3 y A4</t>
  </si>
  <si>
    <t>https://www.amazon.es/gp/product/B09V86L241/ref=ppx_yo_dt_b_asin_title_o04_s01?ie=UTF8&amp;th=1</t>
  </si>
  <si>
    <t>Artscope Juego de 2 Fundas de Cojines Decorativas Cuadradas de Lino 50 x 50</t>
  </si>
  <si>
    <t>https://www.amazon.es/gp/product/B0C84W3XPR/ref=ppx_yo_dt_b_asin_title_o04_s00?ie=UTF8&amp;psc=1</t>
  </si>
  <si>
    <t>Manta cubre sillón 180*260</t>
  </si>
  <si>
    <t>https://www.amazon.es/gp/product/B073Q3R2F2/ref=ppx_yo_dt_b_asin_title_o03_s00?ie=UTF8&amp;psc=1</t>
  </si>
  <si>
    <t>Relleno de Cojín 50 x 50 cm 2 unidades</t>
  </si>
  <si>
    <t>https://www.amazon.es/gp/product/B0BWVLVRQY/ref=ppx_yo_dt_b_asin_title_o02_s00?ie=UTF8&amp;th=1</t>
  </si>
  <si>
    <t>Pack de 2 Rellenos de Cojín, Relleno de Fibra Hueca</t>
  </si>
  <si>
    <t>https://www.amazon.es/gp/product/B08CCF1LHW/ref=ppx_yo_dt_b_asin_title_o01_s00?ie=UTF8&amp;th=1</t>
  </si>
  <si>
    <t>Mesa Aux jardín</t>
  </si>
  <si>
    <t>https://www.amazon.es/dp/B0CX9CM2BG?psc=1&amp;smid=A2C9E5D7U09XF0&amp;ref_=chk_typ_imgToDp</t>
  </si>
  <si>
    <t>Set Láminas con marco negro</t>
  </si>
  <si>
    <t>https://www.amazon.es/dp/B09V8514H3?smid=A1BHU686AX7J2C&amp;ref_=chk_typ_imgToDp&amp;th=1</t>
  </si>
  <si>
    <t>Set Láminas con marco negro belleza</t>
  </si>
  <si>
    <t>https://www.amazon.es/gp/product/B09V85L39M/ref=ppx_yo_dt_b_asin_title_o04_s00?ie=UTF8&amp;psc=1</t>
  </si>
  <si>
    <t>Lámpara de techo 5 bolas</t>
  </si>
  <si>
    <t>https://www.amazon.es/dp/B0DR4RTH8W?psc=1&amp;smid=A291A4231MYKMV&amp;ref_=chk_typ_imgToDp</t>
  </si>
  <si>
    <t>Bombillas blanco cálido para Lámpara de techo set 6</t>
  </si>
  <si>
    <t>https://www.amazon.es/dp/B0B11XW16X?psc=1&amp;smid=A284KXCM7HH2C7&amp;ref_=chk_typ_imgToDp</t>
  </si>
  <si>
    <t>Colchón hinchable matrimonio</t>
  </si>
  <si>
    <t>https://www.amazon.es/dp/B07LH4KW3P?psc=1&amp;smid=A1AT7YVPFBWXBL&amp;ref_=chk_typ_imgToDp</t>
  </si>
  <si>
    <t>Colchón hinchable individual</t>
  </si>
  <si>
    <t>Funda sofá 3 plazas</t>
  </si>
  <si>
    <t>https://www.amazon.es/dp/B08PBSXPV4?psc=1&amp;smid=A6AH8775LOIS1&amp;ref_=chk_typ_imgToDp</t>
  </si>
  <si>
    <t>Funda sofá 3 plazas + 2 plazas</t>
  </si>
  <si>
    <t>https://www.amazon.es/dp/B0BPYXZZ35?ref=fed_asin_title</t>
  </si>
  <si>
    <t>Funda sillón</t>
  </si>
  <si>
    <t>https://www.amazon.es/dp/B08PBT6X7P?ref=fed_asin_title&amp;th=1</t>
  </si>
  <si>
    <t>Set 2 fundas de cojín mostaza 50x50</t>
  </si>
  <si>
    <t>https://www.amazon.es/dp/B0D78J9JN5?psc=1&amp;smid=AZ16IMEVZD9Q0&amp;ref_=chk_typ_imgToDp</t>
  </si>
  <si>
    <t>Visillo blanco corto</t>
  </si>
  <si>
    <t>https://www.amazon.es/dp/B08BZFKSBC?psc=1&amp;smid=A26DNWB48DSU5G&amp;ref_=chk_typ_imgToDp</t>
  </si>
  <si>
    <t>Bandeja madera desayuno</t>
  </si>
  <si>
    <t>https://www.amazon.es/dp/B0CS6GGW7K?psc=1&amp;smid=ALF2SWH12N5CT&amp;ref_=chk_typ_imgToDp</t>
  </si>
  <si>
    <t>Plafón de techo</t>
  </si>
  <si>
    <t>https://www.amazon.es/dp/B0DF266VDF?psc=1&amp;smid=A291A4231MYKMV&amp;ref_=chk_typ_imgToDp</t>
  </si>
  <si>
    <t>Lámpara de techo 4 luces</t>
  </si>
  <si>
    <t>https://www.amazon.es/dp/B0DGT82NQB?psc=1&amp;smid=A1YAM7MTTULO90&amp;ref_=chk_typ_imgToDp</t>
  </si>
  <si>
    <t>Foco HONWELL pilas</t>
  </si>
  <si>
    <t>https://www.amazon.es/dp/B08LV5FMDK?psc=1&amp;smid=ALF9HEN3GEX03&amp;ref_=chk_typ_imgToDp</t>
  </si>
  <si>
    <t>Macetero 25cm</t>
  </si>
  <si>
    <t>https://www.amazon.es/dp/B09G7W95CX?psc=1&amp;smid=A13P6277X44WWB&amp;ref_=chk_typ_imgToDp</t>
  </si>
  <si>
    <t>Planta artificial 145cm</t>
  </si>
  <si>
    <t>https://www.amazon.es/dp/B08VHSVMZ2?psc=1&amp;smid=A1PQIIO52BJNPL&amp;ref_=chk_typ_imgToDp</t>
  </si>
  <si>
    <t>Set 3 mesas Auxiliares madera y hierro</t>
  </si>
  <si>
    <t>https://www.amazon.es/dp/B0BHDW6QH8?ref=fed_asin_title</t>
  </si>
  <si>
    <t>Alfombra 200*290 gris</t>
  </si>
  <si>
    <t>https://www.amazon.es/dp/B0DJ6HGZ89?ref=fed_asin_title&amp;th=1</t>
  </si>
  <si>
    <t>Espejo redondo 50cm</t>
  </si>
  <si>
    <t>https://www.amazon.es/dp/B0D73YV7Z1?ref=fed_asin_title&amp;th=1</t>
  </si>
  <si>
    <t>3 plafones cocina/baño</t>
  </si>
  <si>
    <t>https://www.amazon.es/dp/B0BFLJ1W16?ref=fed_asin_title&amp;th=1</t>
  </si>
  <si>
    <t>Focos orientables techo</t>
  </si>
  <si>
    <t>https://www.amazon.es/dp/B0C48Z51VN?ref=fed_asin_title&amp;th=1</t>
  </si>
  <si>
    <t>Lámpara de techo ratán</t>
  </si>
  <si>
    <t>https://www.amazon.es/dp/B0D5CSHKB3?ref=fed_asin_title&amp;th=1</t>
  </si>
  <si>
    <t>Pack 10 leds empotrables</t>
  </si>
  <si>
    <t>https://www.amazon.es/dp/B0BQDXL1J2?ref=fed_asin_title</t>
  </si>
  <si>
    <t>Relleno de Cojín 50 x 30 cm 2 unidades</t>
  </si>
  <si>
    <t>https://www.amazon.es/dp/B0954SNZFZ?ref=fed_asin_title&amp;th=1</t>
  </si>
  <si>
    <t>Relleno de Cojín 45 x 45 cm 2 unidades</t>
  </si>
  <si>
    <t>https://www.amazon.es/dp/B0CH8NRF9Q?ref=fed_asin_title&amp;th=1</t>
  </si>
  <si>
    <t>Juego 2 cojines Madizz Azul 45x45</t>
  </si>
  <si>
    <t>https://www.amazon.es/dp/B0D4DYLKXZ?ref=fed_asin_title&amp;th=1</t>
  </si>
  <si>
    <t>Juego 2 cojines Madizz Crema 50x30</t>
  </si>
  <si>
    <t>https://www.amazon.es/dp/B0D4D8BMCT?ref=fed_asin_title&amp;th=1</t>
  </si>
  <si>
    <t>Chimenea decorativa bioetanol</t>
  </si>
  <si>
    <t>https://www.amazon.es/gp/product/B0CF5BRB16/ref=ppx_yo_dt_b_asin_title_o09_s00?ie=UTF8&amp;psc=1</t>
  </si>
  <si>
    <t>Lámpara de techo con 4 focos</t>
  </si>
  <si>
    <t>https://www.amazon.es/gp/product/B0CP7WD8Q9/ref=ppx_yo_dt_b_asin_title_o08_s00?ie=UTF8&amp;th=1</t>
  </si>
  <si>
    <t>6 Philips - Bombilla LED cristal 50W, GU10, luz blanca cálida</t>
  </si>
  <si>
    <t>https://www.amazon.es/gp/product/B01KHILJ5O/ref=ppx_yo_dt_b_asin_title_o00_s00?ie=UTF8&amp;th=1</t>
  </si>
  <si>
    <t>Pack 10 pomos redondos</t>
  </si>
  <si>
    <t>https://www.amazon.es/gp/product/B08P8D7DJH/ref=ppx_yo_dt_b_asin_title_o07_s00?ie=UTF8&amp;th=1</t>
  </si>
  <si>
    <t>Luz Nocturna e Inalámbrica para vitrina y pasillo pack de 6</t>
  </si>
  <si>
    <t>https://www.amazon.es/dp/B07T887YB1?smid=A3TSTKIZ79LR1Y&amp;ref_=chk_typ_imgToDp&amp;th=1</t>
  </si>
  <si>
    <t>Espejo Redondo con Marco de Metal 70cm</t>
  </si>
  <si>
    <t>https://www.amazon.es/dp/B0DH3RH86Z?smid=AIZLPT96DZ1DT&amp;ref_=chk_typ_imgToDp&amp;th=1</t>
  </si>
  <si>
    <t>Lampara LED de Espejo Baño 9W</t>
  </si>
  <si>
    <t>https://www.amazon.es/dp/B0BXCRWRWV?smid=A1ZT97AYJ0T660&amp;ref_=chk_typ_imgToDp&amp;th=1</t>
  </si>
  <si>
    <t>Estanteria Baño pack 2</t>
  </si>
  <si>
    <t>https://www.amazon.es/dp/B0D537HL81?smid=A23SXLI7N0OYQV&amp;ref_=chk_typ_imgToDp&amp;th=1</t>
  </si>
  <si>
    <t>Marco para lámina 40x60</t>
  </si>
  <si>
    <t>https://www.amazon.es/dp/B08HJFRRYY?ref=fed_asin_title&amp;th=1</t>
  </si>
  <si>
    <t>Marco para lámina 50x100</t>
  </si>
  <si>
    <t>https://www.amazon.es/dp/B0DL6G3DKV?ref=fed_asin_title&amp;th=1</t>
  </si>
  <si>
    <t>Marco para lámina 60x120</t>
  </si>
  <si>
    <t>https://www.amazon.es/dp/B0D12WXNXK?ref=fed_asin_title</t>
  </si>
  <si>
    <t>Set De 3 Cuadros Decoración 50x70</t>
  </si>
  <si>
    <t>https://www.amazon.es/dp/B0CZKZWMF7?ref=fed_asin_title&amp;th=1</t>
  </si>
  <si>
    <t>Planta Artificial 120cm</t>
  </si>
  <si>
    <t>https://www.amazon.es/dp/B0BK9HWPNH?ref=fed_asin_title&amp;th=1</t>
  </si>
  <si>
    <t>Relleno de cojín 30x50 pack de 2</t>
  </si>
  <si>
    <t>https://www.amazon.es/dp/B0CH8LPBSQ?ref=fed_asin_title&amp;th=1</t>
  </si>
  <si>
    <t>Relleno de cojín 50x50 pack de 2</t>
  </si>
  <si>
    <t>https://www.amazon.es/dp/B0CH8PF825?ref=fed_asin_title</t>
  </si>
  <si>
    <t>Marco para lámina 30x40cm</t>
  </si>
  <si>
    <t>https://www.amazon.es/dp/B0000AIRY7?ref=fed_asin_title</t>
  </si>
  <si>
    <t>Set 6 láminas 30x40</t>
  </si>
  <si>
    <t>https://www.amazon.es/dp/B0DTQXYLGF?ref=fed_asin_title&amp;th=1</t>
  </si>
  <si>
    <t>Funda Cojin 30x50 Beige pack de 2</t>
  </si>
  <si>
    <t>https://www.amazon.es/dp/B0C7855NJ7?ref=fed_asin_title&amp;th=1</t>
  </si>
  <si>
    <t>Funda Cojin 50x50 amarillo pack de 2</t>
  </si>
  <si>
    <t>https://www.amazon.es/dp/B0C784NMSW?ref=fed_asin_title&amp;th=1</t>
  </si>
  <si>
    <t>Funda Cojin 30x50 amarillo pack de 2</t>
  </si>
  <si>
    <t>https://www.amazon.es/dp/B0C783ZHVY?ref=fed_asin_title&amp;th=1</t>
  </si>
  <si>
    <t>Cortina Lino Blanca 140x240</t>
  </si>
  <si>
    <t>https://www.amazon.es/dp/B0CL9V6P1G?ref=fed_asin_title&amp;th=1</t>
  </si>
  <si>
    <t>Mesa de comedor redonda</t>
  </si>
  <si>
    <t>https://www.amazon.es/dp/B071H3DSGF?ref=fed_asin_title</t>
  </si>
  <si>
    <t>Silla de comedor terciopelo gris pack de 2</t>
  </si>
  <si>
    <t>https://www.amazon.es/dp/B0BRKQLMJF?ref=fed_asin_title&amp;th=1</t>
  </si>
  <si>
    <t>Manta Foulard. Colcha Multiusos Sofa 230x290</t>
  </si>
  <si>
    <t>https://www.amazon.es/dp/B0DWTDKNFV?smid=A24J6P3SDAHGNI&amp;ref_=chk_typ_imgToDp&amp;th=1</t>
  </si>
  <si>
    <t>IKEA</t>
  </si>
  <si>
    <t>901.558.70</t>
  </si>
  <si>
    <t>Macetero Fridfull 12 cm</t>
  </si>
  <si>
    <t>https://www.ikea.com/es/es/search/?q=90155870</t>
  </si>
  <si>
    <t>703.953.00</t>
  </si>
  <si>
    <t>Plantas Fejka 9 cm</t>
  </si>
  <si>
    <t>https://www.ikea.com/es/es/search/?q=70395300</t>
  </si>
  <si>
    <t>004.419.04</t>
  </si>
  <si>
    <t>Macetero Chiafron 9 cm</t>
  </si>
  <si>
    <t>https://www.ikea.com/es/es/search/?q=00441904</t>
  </si>
  <si>
    <t>404.140.79</t>
  </si>
  <si>
    <t>Macetero Gradvis 15 cm</t>
  </si>
  <si>
    <t>https://www.ikea.com/es/es/search/?q=40414079</t>
  </si>
  <si>
    <t>304.933.50</t>
  </si>
  <si>
    <t>Plantas Fejka 12 cm</t>
  </si>
  <si>
    <t>https://www.ikea.com/es/es/search/?q=30493350</t>
  </si>
  <si>
    <t>504.757.60</t>
  </si>
  <si>
    <t>Macetero Chiafron 12 cm</t>
  </si>
  <si>
    <t>https://www.ikea.com/es/es/search/?q=50475760</t>
  </si>
  <si>
    <t>604.757.93</t>
  </si>
  <si>
    <t>Macetero Chiafron 15 cm</t>
  </si>
  <si>
    <t>https://www.ikea.com/es/es/search/?q=60475793</t>
  </si>
  <si>
    <t>-</t>
  </si>
  <si>
    <t>Plantas Fejka 15 cm</t>
  </si>
  <si>
    <t>Descatalogado</t>
  </si>
  <si>
    <t>701.866.55</t>
  </si>
  <si>
    <t>Macetero Papaja 12x19 cm</t>
  </si>
  <si>
    <t>https://www.ikea.com/es/es/search/?q=70186655</t>
  </si>
  <si>
    <t>404.523.68</t>
  </si>
  <si>
    <t>https://www.ikea.com/es/es/search/?q=40452368</t>
  </si>
  <si>
    <t>705.335.75</t>
  </si>
  <si>
    <t>Macetero Sojabona 15 cm</t>
  </si>
  <si>
    <t>https://www.ikea.com/es/es/search/?q=70533575</t>
  </si>
  <si>
    <t>205.284.11</t>
  </si>
  <si>
    <t>Vela gruesa Fenomen</t>
  </si>
  <si>
    <t>https://www.ikea.com/es/es/search/?q=20528411</t>
  </si>
  <si>
    <t>505.425.33</t>
  </si>
  <si>
    <t>Farol Borrby</t>
  </si>
  <si>
    <t>https://www.ikea.com/es/es/search/?q=50542533</t>
  </si>
  <si>
    <t>205.128.77</t>
  </si>
  <si>
    <t>DIMFORSEN toall  mano 50x100 gris</t>
  </si>
  <si>
    <t>https://www.ikea.com/es/es/search/?q=20512877</t>
  </si>
  <si>
    <t xml:space="preserve">604.930.04 </t>
  </si>
  <si>
    <t>EKOLN disp. jabón beige</t>
  </si>
  <si>
    <t>https://www.ikea.com/es/es/search/?q=604.930.04%20</t>
  </si>
  <si>
    <t>103.003.95</t>
  </si>
  <si>
    <t>FISKBO mco 30x40 blanco</t>
  </si>
  <si>
    <t>https://www.ikea.com/es/es/search/?q=10300395</t>
  </si>
  <si>
    <t>205.544.43</t>
  </si>
  <si>
    <t>BILD lámina 30x40</t>
  </si>
  <si>
    <t>https://www.ikea.com/es/es/search/?q=20554443</t>
  </si>
  <si>
    <t>805.657.21</t>
  </si>
  <si>
    <t>SAFFEROT edredón 240x220</t>
  </si>
  <si>
    <t>https://www.ikea.com/es/es/search/?q=80565721</t>
  </si>
  <si>
    <t>605.657.17</t>
  </si>
  <si>
    <t>SAFFEROT edredón 150x200</t>
  </si>
  <si>
    <t>https://www.ikea.com/es/es/search/?q=60565717</t>
  </si>
  <si>
    <t>505.179.44</t>
  </si>
  <si>
    <t>VIRKLUND Alfombra exterior 160x230</t>
  </si>
  <si>
    <t>https://www.ikea.com/es/es/search/?q=50517944</t>
  </si>
  <si>
    <t>701.242.62</t>
  </si>
  <si>
    <t>HEMSJÖ vela gruesa</t>
  </si>
  <si>
    <t>https://www.ikea.com/es/es/search/?q=70124262</t>
  </si>
  <si>
    <t>005.517.23</t>
  </si>
  <si>
    <t>ENRUM farol exterior</t>
  </si>
  <si>
    <t>https://www.ikea.com/es/es/search/?q=00551723</t>
  </si>
  <si>
    <t>603.221.73</t>
  </si>
  <si>
    <t>FLADIS cesta 25 cm</t>
  </si>
  <si>
    <t>https://www.ikea.com/es/es/search/?q=60322173</t>
  </si>
  <si>
    <t>204.946.18</t>
  </si>
  <si>
    <t>VÅGSJÖN toalla de mano 50x100 beige</t>
  </si>
  <si>
    <t>https://www.ikea.com/es/es/search/?q=20494618</t>
  </si>
  <si>
    <t>904.473.55</t>
  </si>
  <si>
    <t>NÄRSEN toalla de mano 55x120 blanca</t>
  </si>
  <si>
    <t>https://www.ikea.com/es/es/search/?q=90447355</t>
  </si>
  <si>
    <t>205.081.06</t>
  </si>
  <si>
    <t>SKURUP lámpara de techo turquesa</t>
  </si>
  <si>
    <t>https://www.ikea.com/es/es/search/?q=20508106</t>
  </si>
  <si>
    <t>005.085.36</t>
  </si>
  <si>
    <t>SINNERLIG lámpara de techo bambú</t>
  </si>
  <si>
    <t>https://www.ikea.com/es/es/search/?q=00508536</t>
  </si>
  <si>
    <t>905.574.19</t>
  </si>
  <si>
    <t>LUDDHAGTORN cortina de ducha 180x200</t>
  </si>
  <si>
    <t>https://www.ikea.com/es/es/search/?q=90557419</t>
  </si>
  <si>
    <t>105.154.66</t>
  </si>
  <si>
    <t>GUNNEMOR manta hueso 130x170</t>
  </si>
  <si>
    <t>https://www.ikea.com/es/es/search/?q=10515466</t>
  </si>
  <si>
    <t>805.127.99</t>
  </si>
  <si>
    <t>THORGUN manta hueso 120x160</t>
  </si>
  <si>
    <t>https://www.ikea.com/es/es/search/?q=80512799</t>
  </si>
  <si>
    <t>005.136.13</t>
  </si>
  <si>
    <t>HOLMVI manta gris verdoso 120x160</t>
  </si>
  <si>
    <t>https://www.ikea.com/es/es/search/?q=00513613</t>
  </si>
  <si>
    <t>405.134.61</t>
  </si>
  <si>
    <t>THORGUN manta azul claro 120x160</t>
  </si>
  <si>
    <t>https://www.ikea.com/es/es/search/?q=40513461</t>
  </si>
  <si>
    <t>105.458.59</t>
  </si>
  <si>
    <t>VÅRARV mantel gris 145x240</t>
  </si>
  <si>
    <t>https://www.ikea.com/es/es/search/?q=10545859</t>
  </si>
  <si>
    <t>703.584.87</t>
  </si>
  <si>
    <t>SVALLET lámpara flexo trabajo</t>
  </si>
  <si>
    <t>https://www.ikea.com/es/es/search/?q=70358487</t>
  </si>
  <si>
    <t>005.045.57</t>
  </si>
  <si>
    <t>BARLAST lámpara mesita noche 31cm</t>
  </si>
  <si>
    <t>https://www.ikea.com/es/es/search/?q=00504557</t>
  </si>
  <si>
    <t>205.288.78</t>
  </si>
  <si>
    <t>TIPHEDE Alfombra negro/natural, 80x150 cm</t>
  </si>
  <si>
    <t>https://www.ikea.com/es/es/search/?q=20528878</t>
  </si>
  <si>
    <t>404.308.14</t>
  </si>
  <si>
    <t>HILJA cortina, 1 par blanco 145x300</t>
  </si>
  <si>
    <t>https://www.ikea.com/es/es/search/?q=40430814</t>
  </si>
  <si>
    <t>801.917.55</t>
  </si>
  <si>
    <t>INDIRA, colcha 150x250</t>
  </si>
  <si>
    <t>https://www.ikea.com/es/es/search/?q=80191755</t>
  </si>
  <si>
    <t>303.962.45</t>
  </si>
  <si>
    <t>INDIRA, colcha 230x250 cm</t>
  </si>
  <si>
    <t>https://www.ikea.com/es/es/search/?q=30396245</t>
  </si>
  <si>
    <t>403.840.20</t>
  </si>
  <si>
    <t>VÅRELD, colcha 230x250</t>
  </si>
  <si>
    <t>https://www.ikea.com/es/es/search/?q=40384020</t>
  </si>
  <si>
    <t>003.840.17</t>
  </si>
  <si>
    <t>VÅRELD, colcha 150x250</t>
  </si>
  <si>
    <t>https://www.ikea.com/es/es/search/?q=00384017</t>
  </si>
  <si>
    <t>404.548.19</t>
  </si>
  <si>
    <t>FÖRENLIG macetero blanco 24 cm</t>
  </si>
  <si>
    <t>https://www.ikea.com/es/es/search/?q=40454819</t>
  </si>
  <si>
    <t>704.915.75</t>
  </si>
  <si>
    <t>FEJKA planta artificial 21 cm</t>
  </si>
  <si>
    <t>https://www.ikea.com/es/es/search/?q=70491575</t>
  </si>
  <si>
    <t>205.024.87</t>
  </si>
  <si>
    <t>GRINDFALLET lámpara de techo 30 cm</t>
  </si>
  <si>
    <t>https://www.ikea.com/es/es/search/?q=20502487</t>
  </si>
  <si>
    <t>604.098.40</t>
  </si>
  <si>
    <t>SMYCKA ramo artificial rosa, 25 cm</t>
  </si>
  <si>
    <t>https://www.ikea.com/es/es/search/?q=60409840</t>
  </si>
  <si>
    <t>104.420.45</t>
  </si>
  <si>
    <t>STILREN jarrón blanco, 22 cm</t>
  </si>
  <si>
    <t>https://www.ikea.com/es/es/search/?q=10442045</t>
  </si>
  <si>
    <t>293.937.09</t>
  </si>
  <si>
    <t>TÄRNÖ Mesa con 4 sillas de exterior</t>
  </si>
  <si>
    <t>https://www.ikea.com/es/es/search/?q=29393709</t>
  </si>
  <si>
    <t>404.242.24</t>
  </si>
  <si>
    <t>SILVERTOPP, edredón 150x200</t>
  </si>
  <si>
    <t>https://www.ikea.com/es/es/search/?q=40424224</t>
  </si>
  <si>
    <t>104.242.30</t>
  </si>
  <si>
    <t>SILVERTOPP, edredón 240x220</t>
  </si>
  <si>
    <t>https://www.ikea.com/es/es/search/?q=10424230</t>
  </si>
  <si>
    <t>505.280.80</t>
  </si>
  <si>
    <t>SANDBRODD, manta verde oscuro</t>
  </si>
  <si>
    <t>805.526.86</t>
  </si>
  <si>
    <t>GURLI, funda cojín beige 40x58</t>
  </si>
  <si>
    <t>https://www.ikea.com/es/es/search/?q=80552686</t>
  </si>
  <si>
    <t>805.507.10</t>
  </si>
  <si>
    <t>INNER, relleno cojín 40x58</t>
  </si>
  <si>
    <t>https://www.ikea.com/es/es/search/?q=80550710</t>
  </si>
  <si>
    <t>505.507.02</t>
  </si>
  <si>
    <t>INNER, relleno cojín 50x50</t>
  </si>
  <si>
    <t>https://www.ikea.com/es/es/search/?q=50550702</t>
  </si>
  <si>
    <t>304.717.39</t>
  </si>
  <si>
    <t>SANELA, funda cojín azul 50x50</t>
  </si>
  <si>
    <t>https://www.ikea.com/es/es/search/?q=30471739</t>
  </si>
  <si>
    <t>504.565.30</t>
  </si>
  <si>
    <t>SANELA, funda cojín oliva 50x50</t>
  </si>
  <si>
    <t>https://www.ikea.com/es/es/search/?q=50456530</t>
  </si>
  <si>
    <t>805.909.28</t>
  </si>
  <si>
    <t>SANELA Funda de cojín, gris oscuro turquesa, 50x50</t>
  </si>
  <si>
    <t>https://www.ikea.com/es/es/search/?q=80590928</t>
  </si>
  <si>
    <t>104.650.51</t>
  </si>
  <si>
    <t>HANNELISE Cojín, multicolor, 50x50 cm</t>
  </si>
  <si>
    <t>https://www.ikea.com/es/es/search/?q=10465051</t>
  </si>
  <si>
    <t>604.895.87</t>
  </si>
  <si>
    <t>GURLI, funda cojín verde 50x50</t>
  </si>
  <si>
    <t>https://www.ikea.com/es/es/search/?q=60489587</t>
  </si>
  <si>
    <t>002.773.95</t>
  </si>
  <si>
    <t>LOHALS, alfombra 200x30</t>
  </si>
  <si>
    <t>https://www.ikea.com/es/es/search/?q=00277395</t>
  </si>
  <si>
    <t>194.783.13</t>
  </si>
  <si>
    <t>SUNNEBY, lámpara techo bombilla</t>
  </si>
  <si>
    <t>https://www.ikea.com/es/es/search/?q=19478313</t>
  </si>
  <si>
    <t xml:space="preserve">204.986.40
</t>
  </si>
  <si>
    <t>SOLHETTA, pack 2 bombillas LED</t>
  </si>
  <si>
    <t>https://www.ikea.com/es/es/search/?q=20498640</t>
  </si>
  <si>
    <t>500.706.51</t>
  </si>
  <si>
    <t>KNAPPA, lámpara de techo salón</t>
  </si>
  <si>
    <t>https://www.ikea.com/es/es/search/?q=50070651</t>
  </si>
  <si>
    <t>904.987.07</t>
  </si>
  <si>
    <t>SOLHETTA, pack 2 bombilla led</t>
  </si>
  <si>
    <t>https://www.ikea.com/es/es/search/?q=90498707</t>
  </si>
  <si>
    <t>200.469.88</t>
  </si>
  <si>
    <t>LAMPAN, lámpara de mesa</t>
  </si>
  <si>
    <t>https://www.ikea.com/es/es/search/?q=20046988</t>
  </si>
  <si>
    <t>605.641.38</t>
  </si>
  <si>
    <t>https://www.ikea.com/es/es/search/?q=60564138</t>
  </si>
  <si>
    <t>603.978.61</t>
  </si>
  <si>
    <t>NYMÅNE, aplique de pared</t>
  </si>
  <si>
    <t>https://www.ikea.com/es/es/search/?q=60397861</t>
  </si>
  <si>
    <t>205.103.93</t>
  </si>
  <si>
    <t>SOLHETTA, pack 3 bombillas LED</t>
  </si>
  <si>
    <t>https://www.ikea.com/es/es/search/?q=20510393</t>
  </si>
  <si>
    <t>304.895.36</t>
  </si>
  <si>
    <t>BEKRÄFTA, barra para cortina</t>
  </si>
  <si>
    <t>https://www.ikea.com/es/es/search/?q=30489536</t>
  </si>
  <si>
    <t>104.880.43</t>
  </si>
  <si>
    <t>VÅGSJÖN, toalla de mano gris turquesa</t>
  </si>
  <si>
    <t>https://www.ikea.com/es/es/search/?q=10488043</t>
  </si>
  <si>
    <t>705.526.20</t>
  </si>
  <si>
    <t>VALLKRASSING, manta azul grisáceo</t>
  </si>
  <si>
    <t>https://www.ikea.com/es/es/search/?q=70552620</t>
  </si>
  <si>
    <t>705.254.53</t>
  </si>
  <si>
    <t>VEJSTRUP, alfombra pie de cama 80x150</t>
  </si>
  <si>
    <t>https://www.ikea.com/es/es/search/?q=70525453</t>
  </si>
  <si>
    <t>404.567.57</t>
  </si>
  <si>
    <t>TIPHEDE Alfombra natural/negro, 80x150 cm</t>
  </si>
  <si>
    <t>https://www.ikea.com/es/es/search/?q=40456757</t>
  </si>
  <si>
    <t>303.439.40</t>
  </si>
  <si>
    <t>LIVSLÅNG, jarrón pequeño</t>
  </si>
  <si>
    <t>https://www.ikea.com/es/es/search/?q=30343940</t>
  </si>
  <si>
    <t>404.611.36</t>
  </si>
  <si>
    <t>SMYCKA, ramo artificial</t>
  </si>
  <si>
    <t>https://www.ikea.com/es/es/search/?q=40461136</t>
  </si>
  <si>
    <t>804.577.74</t>
  </si>
  <si>
    <t>BERÄKNA, jarrón cristal</t>
  </si>
  <si>
    <t>https://www.ikea.com/es/es/search/?q=80457774</t>
  </si>
  <si>
    <t>804.097.97</t>
  </si>
  <si>
    <t>SMYCKA, Flor artificial</t>
  </si>
  <si>
    <t>https://www.ikea.com/es/es/search/?q=80409797</t>
  </si>
  <si>
    <t>905.022.76</t>
  </si>
  <si>
    <t>HEDERSAM, vela</t>
  </si>
  <si>
    <t>https://www.ikea.com/es/es/search/?q=90502276</t>
  </si>
  <si>
    <t>305.147.91</t>
  </si>
  <si>
    <t>LACK, mesa auxiliar</t>
  </si>
  <si>
    <t>https://www.ikea.com/es/es/search/?q=30514791</t>
  </si>
  <si>
    <t>402.774.59</t>
  </si>
  <si>
    <t>VÄRDERA, taza de té con plato</t>
  </si>
  <si>
    <t>https://www.ikea.com/es/es/search/?q=40277459</t>
  </si>
  <si>
    <t>605.561.43</t>
  </si>
  <si>
    <t>VINTERFINT, lata con tapa roja</t>
  </si>
  <si>
    <t>https://www.ikea.com/es/es/search/?q=60556143</t>
  </si>
  <si>
    <t>805.184.66</t>
  </si>
  <si>
    <t>VRIGSTAD, espejo junco</t>
  </si>
  <si>
    <t>https://www.ikea.com/es/es/search/?q=80518466</t>
  </si>
  <si>
    <t>504.548.85</t>
  </si>
  <si>
    <t>KAKTUSFIKON, macetero 12cm</t>
  </si>
  <si>
    <t>https://www.ikea.com/es/es/search/?q=50454885</t>
  </si>
  <si>
    <t>002.123.04</t>
  </si>
  <si>
    <t>PEKANNÖT macetero 12 cm</t>
  </si>
  <si>
    <t>https://www.ikea.com/es/es/search/?q=00212304</t>
  </si>
  <si>
    <t>104.611.47</t>
  </si>
  <si>
    <t>FEJKA, planta colgante 12cm</t>
  </si>
  <si>
    <t>https://www.ikea.com/es/es/search/?q=10461147</t>
  </si>
  <si>
    <t>205.232.39</t>
  </si>
  <si>
    <t>KLYNNON, macetero 9 cm</t>
  </si>
  <si>
    <t>https://www.ikea.com/es/es/search/?q=20523239</t>
  </si>
  <si>
    <t>504.933.49</t>
  </si>
  <si>
    <t>FEJKA, planta artificial 9 cm</t>
  </si>
  <si>
    <t>https://www.ikea.com/es/es/search/?q=50493349</t>
  </si>
  <si>
    <t>202.811.36</t>
  </si>
  <si>
    <t>GURLI, funda de cojín beige 50x50</t>
  </si>
  <si>
    <t>https://www.ikea.com/es/es/search/?q=20281136</t>
  </si>
  <si>
    <t>205.310.17</t>
  </si>
  <si>
    <t>SANELA, funda de cojín 40x58</t>
  </si>
  <si>
    <t>https://www.ikea.com/es/es/search/?q=20531017</t>
  </si>
  <si>
    <t>504.809.12</t>
  </si>
  <si>
    <t>LURPASSA, juego de dos cajas con tapa</t>
  </si>
  <si>
    <t>https://www.ikea.com/es/es/search/?q=50480912</t>
  </si>
  <si>
    <t>605.023.86</t>
  </si>
  <si>
    <t>HEDERSAM, vela verde en vaso</t>
  </si>
  <si>
    <t>https://www.ikea.com/es/es/search/?q=60502386</t>
  </si>
  <si>
    <t>803.003.73</t>
  </si>
  <si>
    <t>FISKBO mco 21X30 blanco</t>
  </si>
  <si>
    <t>https://www.ikea.com/es/es/search/?q=80300373</t>
  </si>
  <si>
    <t>804.987.22</t>
  </si>
  <si>
    <t>https://www.ikea.com/es/es/search/?q=80498722</t>
  </si>
  <si>
    <t>805.021.11</t>
  </si>
  <si>
    <t>STÖRTSKÖN, vela roja en vaso</t>
  </si>
  <si>
    <t>https://www.ikea.com/es/es/search/?q=80502111</t>
  </si>
  <si>
    <t>905.310.14</t>
  </si>
  <si>
    <t xml:space="preserve">SANELA, funda de cojín verde claro 40x58 </t>
  </si>
  <si>
    <t>https://www.ikea.com/es/es/search/?q=90531014</t>
  </si>
  <si>
    <t>405.273.97</t>
  </si>
  <si>
    <t>SANDBRODD, manta beige 130x170</t>
  </si>
  <si>
    <t>https://www.ikea.com/es/es/search/?q=40527397</t>
  </si>
  <si>
    <t>405.620.36</t>
  </si>
  <si>
    <t>SANDBRODD, manta hueso 130x170</t>
  </si>
  <si>
    <t>https://www.ikea.com/es/es/search/?q=40562036</t>
  </si>
  <si>
    <t>705.136.24</t>
  </si>
  <si>
    <t>HOLMVI, Manta, rosa claro, 120x160 cm</t>
  </si>
  <si>
    <t>https://www.ikea.com/es/es/search/?q=70513624</t>
  </si>
  <si>
    <t>705.209.26</t>
  </si>
  <si>
    <t>BLÅSVERK, lámpara de mesa beige</t>
  </si>
  <si>
    <t>https://www.ikea.com/es/es/search/?q=70520926</t>
  </si>
  <si>
    <t>905.108.94</t>
  </si>
  <si>
    <t>TVÄRHAND, lámpara de mesa negro,bambú</t>
  </si>
  <si>
    <t>https://www.ikea.com/es/es/search/?q=90510894</t>
  </si>
  <si>
    <t>004.611.38</t>
  </si>
  <si>
    <t>SMYCKA, ramo artificial verde</t>
  </si>
  <si>
    <t>https://www.ikea.com/es/es/search/?q=00461138</t>
  </si>
  <si>
    <t>105.486.31</t>
  </si>
  <si>
    <t>FEJKA, planta artificial helecho 12 cm</t>
  </si>
  <si>
    <t>https://www.ikea.com/es/es/search/?q=10548631</t>
  </si>
  <si>
    <t>205.327.76</t>
  </si>
  <si>
    <t>FEJKA, planta Alocasia, 19 cm - 90 altura</t>
  </si>
  <si>
    <t>https://www.ikea.com/es/es/search/?q=20532776</t>
  </si>
  <si>
    <t>005.594.94</t>
  </si>
  <si>
    <t>AMBRARÖNN, macetero 19 cm</t>
  </si>
  <si>
    <t>https://www.ikea.com/es/es/search/?q=00559494</t>
  </si>
  <si>
    <t>105.204.15</t>
  </si>
  <si>
    <t>REGNSKUR, lámpara de techo</t>
  </si>
  <si>
    <t>https://www.ikea.com/es/es/search/?q=10520415</t>
  </si>
  <si>
    <t>305.099.78</t>
  </si>
  <si>
    <t>SOLHETTA, bombilla led E27 pack 2</t>
  </si>
  <si>
    <t>https://www.ikea.com/es/es/search/?q=30509978</t>
  </si>
  <si>
    <t>805.265.79</t>
  </si>
  <si>
    <t>SILVERARV, mantel beige 145x240</t>
  </si>
  <si>
    <t>https://www.ikea.com/es/es/search/?q=80526579</t>
  </si>
  <si>
    <t>104.709.91</t>
  </si>
  <si>
    <t>PÅDRAG, jarrón vidrio 17 cm</t>
  </si>
  <si>
    <t>https://www.ikea.com/es/es/search/?q=10470991</t>
  </si>
  <si>
    <t>003.432.82</t>
  </si>
  <si>
    <t>SJÄLSLIGT juego adornos cactus</t>
  </si>
  <si>
    <t>https://www.ikea.com/es/es/search/?q=00343282</t>
  </si>
  <si>
    <t>101.561.09</t>
  </si>
  <si>
    <t>BORRBY, farol para vela gruesa</t>
  </si>
  <si>
    <t>https://www.ikea.com/es/es/search/?q=10156109</t>
  </si>
  <si>
    <t>104.469.20</t>
  </si>
  <si>
    <t>BILD, láminas 40x50</t>
  </si>
  <si>
    <t>https://www.ikea.com/es/es/search/?q=10446920</t>
  </si>
  <si>
    <t>503.871.36</t>
  </si>
  <si>
    <t>KNOPPÄNG, marco negro 40x50</t>
  </si>
  <si>
    <t>https://www.ikea.com/es/es/search/?q=50387136</t>
  </si>
  <si>
    <t>905.027.66</t>
  </si>
  <si>
    <t>LUGNARE, Popurri perfumado</t>
  </si>
  <si>
    <t>https://www.ikea.com/es/es/search/?q=90502766</t>
  </si>
  <si>
    <t>804.369.46</t>
  </si>
  <si>
    <t>GRÖNBY, set cuadros paisaje azul</t>
  </si>
  <si>
    <t>https://www.ikea.com/es/es/search/?q=80436946</t>
  </si>
  <si>
    <t>505.197.64</t>
  </si>
  <si>
    <t>FEJKA set 3 plantas 6 cm</t>
  </si>
  <si>
    <t>https://www.ikea.com/es/es/search/?q=50519764</t>
  </si>
  <si>
    <t>695.060.02</t>
  </si>
  <si>
    <t>VÅGSJÖN juego toallas beige</t>
  </si>
  <si>
    <t>https://www.ikea.com/es/es/search/?q=69506002</t>
  </si>
  <si>
    <t>102.348.62</t>
  </si>
  <si>
    <t>RUNDLIG Bol ensaladera bambú</t>
  </si>
  <si>
    <t>https://www.ikea.com/es/es/search/?q=10234862</t>
  </si>
  <si>
    <t>004.421.97</t>
  </si>
  <si>
    <t>TONSÄTTA jarrón 21 cm</t>
  </si>
  <si>
    <t>https://www.ikea.com/es/es/search/?q=00442197</t>
  </si>
  <si>
    <t>603.347.03</t>
  </si>
  <si>
    <t>GRADVIS jarrón 21 cm</t>
  </si>
  <si>
    <t>https://www.ikea.com/es/es/search/?q=60334703</t>
  </si>
  <si>
    <t>105.718.10</t>
  </si>
  <si>
    <t>SMYCKA ramo artifical 48 cm</t>
  </si>
  <si>
    <t>https://www.ikea.com/es/es/search/?q=10571810</t>
  </si>
  <si>
    <t>005.517.56</t>
  </si>
  <si>
    <t>SOCKERÄRT jarra gris</t>
  </si>
  <si>
    <t>https://www.ikea.com/es/es/search/?q=00551756</t>
  </si>
  <si>
    <t>404.760.72</t>
  </si>
  <si>
    <t>SMYCKA flor artifical girasol</t>
  </si>
  <si>
    <t>https://www.ikea.com/es/es/search/?q=40476072</t>
  </si>
  <si>
    <t>203.958.21</t>
  </si>
  <si>
    <t>GURLI funda de cojín dorada 50x50</t>
  </si>
  <si>
    <t>https://www.ikea.com/es/es/search/?q=20395821</t>
  </si>
  <si>
    <t>605.069.59</t>
  </si>
  <si>
    <t>PLOMMONROS funda de cojín beige/blanco 50x50</t>
  </si>
  <si>
    <t>https://www.ikea.com/es/es/search/?q=60506959</t>
  </si>
  <si>
    <t>405.069.55</t>
  </si>
  <si>
    <t>PLOMMONROS funda de cojín azul oscuro/blanco 50x50</t>
  </si>
  <si>
    <t>https://www.ikea.com/es/es/search/?q=40506955</t>
  </si>
  <si>
    <t>205.069.56</t>
  </si>
  <si>
    <t>PLOMMONROS funda de cojín rojo/blanco 50x50</t>
  </si>
  <si>
    <t>https://www.ikea.com/es/es/search/?q=20506956</t>
  </si>
  <si>
    <t>305.135.98</t>
  </si>
  <si>
    <t>HOLMVI manta gris 120x160</t>
  </si>
  <si>
    <t>https://www.ikea.com/es/es/search/?q=30513598</t>
  </si>
  <si>
    <t>105.084.56</t>
  </si>
  <si>
    <t>FEJKA Planta artificial, int/ext hierba</t>
  </si>
  <si>
    <t>https://www.ikea.com/es/es/search/?q=10508456</t>
  </si>
  <si>
    <t>805.197.67</t>
  </si>
  <si>
    <t>Planta artificial, int/ext Suculenta, 6 cm</t>
  </si>
  <si>
    <t>https://www.ikea.com/es/es/search/?q=80519767</t>
  </si>
  <si>
    <t>005.318.86</t>
  </si>
  <si>
    <t>PENNFISK cesta redonda junco</t>
  </si>
  <si>
    <t>https://www.ikea.com/es/es/search/?q=00531886</t>
  </si>
  <si>
    <t>305.184.64</t>
  </si>
  <si>
    <t>GRINSBOL espejo 55 cm</t>
  </si>
  <si>
    <t>https://www.ikea.com/es/es/search/?q=30518464</t>
  </si>
  <si>
    <t>VRIGSTAD espejo 63 cm</t>
  </si>
  <si>
    <t>104.678.04</t>
  </si>
  <si>
    <t>FEJKA planta alta artificial</t>
  </si>
  <si>
    <t>https://www.ikea.com/es/es/search/?q=10467804</t>
  </si>
  <si>
    <t>801.982.95</t>
  </si>
  <si>
    <t>MORUM alfombra 200x300</t>
  </si>
  <si>
    <t>https://www.ikea.com/es/es/search/?q=80198295</t>
  </si>
  <si>
    <t>204.268.08</t>
  </si>
  <si>
    <t>STOENSE alfombra 200x300</t>
  </si>
  <si>
    <t>https://www.ikea.com/es/es/search/?q=20426808</t>
  </si>
  <si>
    <t>304.420.25</t>
  </si>
  <si>
    <t>BILD, Lámina, viajes por el desierto, 2 unidad/paquete, 30x40 cm</t>
  </si>
  <si>
    <t>https://www.ikea.com/es/es/search/?q=30442025</t>
  </si>
  <si>
    <t>803.784.23</t>
  </si>
  <si>
    <t>RIBBA, Marco, blanco, 30x40 cm</t>
  </si>
  <si>
    <t>https://www.ikea.com/es/es/search/?q=80378423</t>
  </si>
  <si>
    <t>505.921.13</t>
  </si>
  <si>
    <t>MYRMOSAIK,  jarrón, verde, 23 cm</t>
  </si>
  <si>
    <t>https://www.ikea.com/es/es/search/?q=50592113</t>
  </si>
  <si>
    <t>803.357.73</t>
  </si>
  <si>
    <t>SMYCKA,Rama artificial, eucalipto/verde, 65</t>
  </si>
  <si>
    <t>https://www.ikea.com/es/es/search/?q=80335773</t>
  </si>
  <si>
    <t>400.651.60</t>
  </si>
  <si>
    <t>HULTET, plato decorativo bambú, 30cm</t>
  </si>
  <si>
    <t>https://www.ikea.com/es/es/search/?q=40065160</t>
  </si>
  <si>
    <t>404.361.75</t>
  </si>
  <si>
    <t>BILD, Lámina, días de sol, 30x40 cm</t>
  </si>
  <si>
    <t>https://www.ikea.com/es/es/search/?q=40436175</t>
  </si>
  <si>
    <t>702.334.21</t>
  </si>
  <si>
    <t>PROPPMÄTT, tabla de cortar 38x27</t>
  </si>
  <si>
    <t>https://www.ikea.com/es/es/search/?q=70233421</t>
  </si>
  <si>
    <t>105.707.02</t>
  </si>
  <si>
    <t>BRÖGGAN, tabla de cortar 58x16</t>
  </si>
  <si>
    <t>https://www.ikea.com/es/es/search/?q=10570702</t>
  </si>
  <si>
    <t>801.484.65</t>
  </si>
  <si>
    <t>SOCKERÄRT, jarra blanca 22 cm</t>
  </si>
  <si>
    <t>https://www.ikea.com/es/es/search/?q=80148465</t>
  </si>
  <si>
    <t>204.681.10</t>
  </si>
  <si>
    <t>FÖRSEGLA, posavasos bambú, 9cm pack 2</t>
  </si>
  <si>
    <t>https://www.ikea.com/es/es/search/?q=20468110</t>
  </si>
  <si>
    <t>202.829.42</t>
  </si>
  <si>
    <t>IKEA 365+, Tazón, blanco, 24 cl</t>
  </si>
  <si>
    <t>https://www.ikea.com/es/es/search/?q=20282942</t>
  </si>
  <si>
    <t>205.180.30</t>
  </si>
  <si>
    <t>GILLSTAD, Adorno pared, juego 3, junco a mano</t>
  </si>
  <si>
    <t>https://www.ikea.com/es/es/search/?q=20518030</t>
  </si>
  <si>
    <t>405.180.29</t>
  </si>
  <si>
    <t>MOLNSKOG, Adorno de pared j2, hoja de palma</t>
  </si>
  <si>
    <t>https://www.ikea.com/es/es/search/?q=40518029</t>
  </si>
  <si>
    <t>404.416.19</t>
  </si>
  <si>
    <t>EKOLN, disponsador jabón gris oscuro</t>
  </si>
  <si>
    <t>https://www.ikea.com/es/es/search/?q=40441619</t>
  </si>
  <si>
    <t>803.281.45</t>
  </si>
  <si>
    <t>FRYKEN, Caja con tapa, juego de 3</t>
  </si>
  <si>
    <t>https://www.ikea.com/es/es/search/?q=80328145</t>
  </si>
  <si>
    <t>705.126.48</t>
  </si>
  <si>
    <t>TOLKNING, cesto colgante yute</t>
  </si>
  <si>
    <t>https://www.ikea.com/es/es/search/?q=70512648</t>
  </si>
  <si>
    <t>304.098.46</t>
  </si>
  <si>
    <t>SMYCKA, Flor artificial, eucalipto/rosa, 30 cm</t>
  </si>
  <si>
    <t>https://www.ikea.com/es/es/search/?q=30409846</t>
  </si>
  <si>
    <t xml:space="preserve">405.618.00 </t>
  </si>
  <si>
    <t>LAGERPOPPEL fn cojín 50x50 hueso</t>
  </si>
  <si>
    <t>https://www.ikea.com/es/es/search/?q=40561800</t>
  </si>
  <si>
    <t xml:space="preserve">904.976.99 </t>
  </si>
  <si>
    <t>ÅKERBÄR macetero 12 int/ext/galvanizado</t>
  </si>
  <si>
    <t>https://www.ikea.com/es/es/search/?q=90497699</t>
  </si>
  <si>
    <t>005.921.15</t>
  </si>
  <si>
    <t>MYRMOSAIK florero / jarrón 18 azul</t>
  </si>
  <si>
    <t>https://www.ikea.com/es/es/search/?q=00592115</t>
  </si>
  <si>
    <t xml:space="preserve">305.827.99 </t>
  </si>
  <si>
    <t>HAMNKRASSING fn cojín 50x50 rosa/azul verde</t>
  </si>
  <si>
    <t>https://www.ikea.com/es/es/search/?q=30582799</t>
  </si>
  <si>
    <t xml:space="preserve">004.548.21 </t>
  </si>
  <si>
    <t>FÖRENLIG macetero 12 int/ext blanco</t>
  </si>
  <si>
    <t>https://www.ikea.com/es/es/search/?q=00454821</t>
  </si>
  <si>
    <t xml:space="preserve">004.783.51 </t>
  </si>
  <si>
    <t>SESAMFRÖN macetero 9 int/ext hueso</t>
  </si>
  <si>
    <t>https://www.ikea.com/es/es/search/?q=00478351</t>
  </si>
  <si>
    <t xml:space="preserve">995.256.26 </t>
  </si>
  <si>
    <t>KAPPELAND/HEMMA 29 lamp tcho ratán/negro</t>
  </si>
  <si>
    <t>https://www.ikea.com/es/es/search/?q=99525626</t>
  </si>
  <si>
    <t xml:space="preserve">403.865.90 </t>
  </si>
  <si>
    <t>HEMMA N mnt lamp tcho 1.8 m negro</t>
  </si>
  <si>
    <t>https://www.ikea.com/es/es/search/?q=40386590</t>
  </si>
  <si>
    <t xml:space="preserve">805.401.89 </t>
  </si>
  <si>
    <t>KAPPELAND pant lámp tcho 29 ratán</t>
  </si>
  <si>
    <t>https://www.ikea.com/es/es/search/?q=80540189</t>
  </si>
  <si>
    <t>605.627.14</t>
  </si>
  <si>
    <t>SMYCKA Rama artificial, int/ext/hierba ramo, 40 cm</t>
  </si>
  <si>
    <t>https://www.ikea.com/es/es/search/?q=60562714</t>
  </si>
  <si>
    <t>802.334.30</t>
  </si>
  <si>
    <t>APTITLIG Tabla de cortar, bambú, 45x28 cm</t>
  </si>
  <si>
    <t>https://www.ikea.com/es/es/search/?q=80233430</t>
  </si>
  <si>
    <t>102.834.09</t>
  </si>
  <si>
    <t>IKEA 365+ Taza y plato para espresso, blanco, 6 cl</t>
  </si>
  <si>
    <t>https://www.ikea.com/es/es/search/?q=10283409</t>
  </si>
  <si>
    <t>004.880.34</t>
  </si>
  <si>
    <t>VÅGSJÖN Toalla de baño, gris turquesa, 70x140 cm</t>
  </si>
  <si>
    <t>https://www.ikea.com/es/es/search/?q=00488034</t>
  </si>
  <si>
    <t>905.850.59</t>
  </si>
  <si>
    <t>SVARTFRYLE Manta, amarillo oscuro/gris claro, 130x170 cm</t>
  </si>
  <si>
    <t>https://www.ikea.com/es/es/search/?q=90585059</t>
  </si>
  <si>
    <t>005.846.29</t>
  </si>
  <si>
    <t>KLIPPOXEL manta, gris turquesa, 130x170 cm</t>
  </si>
  <si>
    <t>https://www.ikea.com/es/es/search/?q=00584629</t>
  </si>
  <si>
    <t>605.846.26</t>
  </si>
  <si>
    <t>KLIPPOXEL manta beige, 130x170 cm</t>
  </si>
  <si>
    <t>https://www.ikea.com/es/es/search/?q=60584626</t>
  </si>
  <si>
    <t>705.932.39</t>
  </si>
  <si>
    <t>FEJKA planta artif 19 int/ext flor cerezo</t>
  </si>
  <si>
    <t xml:space="preserve">505.335.76 </t>
  </si>
  <si>
    <t>SOJABÖNA macetero 19 blanco</t>
  </si>
  <si>
    <t>https://www.ikea.com/es/es/p/sojabona-macetero-blanco-50533576/</t>
  </si>
  <si>
    <t xml:space="preserve">803.092.41 </t>
  </si>
  <si>
    <t>Cómoda de 2 cajones, blanco, 35x49 cm</t>
  </si>
  <si>
    <t>https://www.ikea.com/es/es/p/kullen-comoda-2-cajones-blanco-80309241/</t>
  </si>
  <si>
    <t xml:space="preserve">505.908.97 </t>
  </si>
  <si>
    <t>Funda de cojín, beige claro, 50x50 cm</t>
  </si>
  <si>
    <t>https://www.ikea.com/es/es/p/sanela-funda-cojin-beige-claro-50590897/</t>
  </si>
  <si>
    <t xml:space="preserve">105.923.65 </t>
  </si>
  <si>
    <t>Jarrón, blanco, 12 cm</t>
  </si>
  <si>
    <t>https://www.ikea.com/es/es/search/?q=10592365</t>
  </si>
  <si>
    <t xml:space="preserve">805.601.39 </t>
  </si>
  <si>
    <t>Rama artificial, interior/exterior/eucalipto, 29 cm</t>
  </si>
  <si>
    <t>https://www.ikea.com/es/es/search/?q=80560139</t>
  </si>
  <si>
    <t xml:space="preserve">405.164.07 </t>
  </si>
  <si>
    <t>KLYNNON macetero 12 a mano bambú</t>
  </si>
  <si>
    <t>https://www.ikea.com/es/es/search/?q=40516407</t>
  </si>
  <si>
    <t xml:space="preserve">304.573.28 </t>
  </si>
  <si>
    <t>Cesta, natural jacinto de agua/junco marino, 32x33x32 cm</t>
  </si>
  <si>
    <t>https://www.ikea.com/es/es/search/?q=30457328</t>
  </si>
  <si>
    <t>104.939.78</t>
  </si>
  <si>
    <t>SILVERLÖNN, visillo, pack de 2 unidades</t>
  </si>
  <si>
    <t>https://www.ikea.com/es/es/search/?q=10493978</t>
  </si>
  <si>
    <t>102.171.41</t>
  </si>
  <si>
    <t>HUGAD, barra de cortina</t>
  </si>
  <si>
    <t>https://www.ikea.com/es/es/search/?q=10217141</t>
  </si>
  <si>
    <t>302.198.89</t>
  </si>
  <si>
    <t>BETYDLIG, soporte pared/techo para cortina</t>
  </si>
  <si>
    <t>https://www.ikea.com/es/es/search/?q=30219889</t>
  </si>
  <si>
    <t>204.910.40</t>
  </si>
  <si>
    <t>Visillo, pack de 2 unidades, blanco/con cinta de fruncir, 145x300</t>
  </si>
  <si>
    <t>https://www.ikea.com/es/es/search/?q=20491040</t>
  </si>
  <si>
    <t>905.506.96</t>
  </si>
  <si>
    <t>INNER relleno cojín 65x65 blanco/firme</t>
  </si>
  <si>
    <t>https://www.ikea.com/es/es/search/?q=90550696</t>
  </si>
  <si>
    <t>305.595.48</t>
  </si>
  <si>
    <t>KOPPARBJÖRK florero / jarrón 21 amarillo vivo</t>
  </si>
  <si>
    <t>https://www.ikea.com/es/es/search/?q=30559548</t>
  </si>
  <si>
    <t>005.917.95</t>
  </si>
  <si>
    <t>KLIPPOXEL manta 130x170 naranja/rosa vivo</t>
  </si>
  <si>
    <t>https://www.ikea.com/es/es/search/?q=00591795</t>
  </si>
  <si>
    <t>504.255.29</t>
  </si>
  <si>
    <t>STOENSE alfombra pel cor 170x240 hueso</t>
  </si>
  <si>
    <t>https://www.ikea.com/es/es/search/?q=50425529</t>
  </si>
  <si>
    <t>403.506.66</t>
  </si>
  <si>
    <t>Taza y plato para espresso, beige, 9 cl</t>
  </si>
  <si>
    <t>https://www.ikea.com/es/es/search/?q=40350666</t>
  </si>
  <si>
    <t>505.618.09</t>
  </si>
  <si>
    <t>Funda de cojín, beige dorado, 50x50 cm</t>
  </si>
  <si>
    <t>https://www.ikea.com/es/es/search/?q=50561809</t>
  </si>
  <si>
    <t>305.932.84</t>
  </si>
  <si>
    <t>SMYCKA flor artif 45 int/ext/hortensia azul claro</t>
  </si>
  <si>
    <t>304.339.45</t>
  </si>
  <si>
    <t>Planta artificial, interior/exterior helecho, 9 cm</t>
  </si>
  <si>
    <t>https://www.ikea.com/es/es/search/?q=30433945</t>
  </si>
  <si>
    <t>003.956.24</t>
  </si>
  <si>
    <t>Macetero, interior/exterior gris, 24 cm</t>
  </si>
  <si>
    <t>https://www.ikea.com/es/es/search/?q=00395624</t>
  </si>
  <si>
    <t>005.911.30</t>
  </si>
  <si>
    <t>Funda de cojín, beige, 65x65 cm</t>
  </si>
  <si>
    <t>https://www.ikea.com/es/es/search/?q=00591130</t>
  </si>
  <si>
    <t>505.126.49</t>
  </si>
  <si>
    <t>Juego de 2 cestos colgantes, bambú</t>
  </si>
  <si>
    <t>https://www.ikea.com/es/es/search/?q=50512649</t>
  </si>
  <si>
    <t>005.796.99</t>
  </si>
  <si>
    <t>Toalla de mano, turquesa, 50x100 cm</t>
  </si>
  <si>
    <t>https://www.ikea.com/es/es/search/?q=00579699</t>
  </si>
  <si>
    <t>400.825.36</t>
  </si>
  <si>
    <t>Mantel individual, jacinto de agua, 37 cm</t>
  </si>
  <si>
    <t>https://www.ikea.com/es/es/search/?q=40082536</t>
  </si>
  <si>
    <t>905.465.72</t>
  </si>
  <si>
    <t>Planta artificial, de montaje en pared/interior/exterior verde, 26x26 cm</t>
  </si>
  <si>
    <t>https://www.ikea.com/es/es/search/?q=90546572</t>
  </si>
  <si>
    <t>105.932.80</t>
  </si>
  <si>
    <t>SMYCKA N rama artificial 60 rosa</t>
  </si>
  <si>
    <t>905.932.76</t>
  </si>
  <si>
    <t>Rama artificial, interior/exterior/palmera verde, 100 cm</t>
  </si>
  <si>
    <t>https://www.ikea.com/es/es/search/?q=90593276</t>
  </si>
  <si>
    <t>304.468.96</t>
  </si>
  <si>
    <t>Espejo, chapa nogal, 60 cm</t>
  </si>
  <si>
    <t>https://www.ikea.com/es/es/search/?q=30446896</t>
  </si>
  <si>
    <t>005.335.88</t>
  </si>
  <si>
    <t>Macetero, blanco, 12 cm</t>
  </si>
  <si>
    <t>https://www.ikea.com/es/es/search/?q=00533588</t>
  </si>
  <si>
    <t>505.710.97</t>
  </si>
  <si>
    <t>Funda de cojín, blanco/rosa claro, 50x50 cm</t>
  </si>
  <si>
    <t>https://www.ikea.com/es/es/search/?q=50571097</t>
  </si>
  <si>
    <t>LEROY MERLIN</t>
  </si>
  <si>
    <t>Plafón</t>
  </si>
  <si>
    <t>https://www.leroymerlin.es/productos/iluminacion/iluminacion-interior/plafones-led/plafon-esencial-pluton-con-casquillo-grueso-e27-cristal-blanco-25-cm-81983711.html</t>
  </si>
  <si>
    <t>Lámpara de techo</t>
  </si>
  <si>
    <t>https://www.leroymerlin.es/productos/iluminacion/iluminacion-interior/lamparas/lamparas-de-techo/lamparas-de-techo-para-cocina/lampara-de-techo-inspire-bizen1-luz-e27-blanca-17691002.html</t>
  </si>
  <si>
    <t>Cortina 140x280</t>
  </si>
  <si>
    <t>https://www.leroymerlin.es/productos/decoracion/cortinas-visillos-y-tendinas/cortinas-y-visillos/cortina-polyone-inspire-liso-blanco-de-140x280cm-82497460.html</t>
  </si>
  <si>
    <t>Alfombra bambú 80x150</t>
  </si>
  <si>
    <t>https://www.leroymerlin.es/productos/decoracion/alfombras/todas-las-alfombras/alfombra-pie-de-cama-bambu-dubai-beige-blanco-80x150cm-82491402.html</t>
  </si>
  <si>
    <t>Kit de barra para cortinas (120 a 210)</t>
  </si>
  <si>
    <t>https://www.leroymerlin.es/productos/decoracion/barras-de-cortina-rieles-y-portavisillos/kit-barra-de-cortina/kit-de-barras-para-cortina-metal-ball-inspire-negro-d16-19mm-ext-120-a-210-cm-84407270.html</t>
  </si>
  <si>
    <t>Pie de lámpara para mesilla</t>
  </si>
  <si>
    <t>https://www.leroymerlin.es/productos/iluminacion/iluminacion-interior/lamparas/pantallas-y-pies-de-lampara/pie-de-sobremesa-inspire-ceres-e14-blanco-82551232.html</t>
  </si>
  <si>
    <t>Pantalla de lámpara para mesilla</t>
  </si>
  <si>
    <t>https://www.leroymerlin.es/productos/pantalla-de-13cm-inspire-algodon-blanco-17896634.html</t>
  </si>
  <si>
    <t>Bombilla LED para lámpara mesilla</t>
  </si>
  <si>
    <t>https://www.leroymerlin.es/productos/iluminacion/bombillas-y-tubos/bombillas-led/bombillas-led-e14/bombilla-led-lexman-esferico-casquillo-e14-de-2700-k-84467863.html</t>
  </si>
  <si>
    <t>Lámpara de techo INSPIRE 38 CM</t>
  </si>
  <si>
    <t>https://www.leroymerlin.es/productos/iluminacion/iluminacion-interior/lamparas/lamparas-de-techo/lamparas-de-techo-para-cocina/lampara-de-techo-inspire-beige-1-luz-86138991.html</t>
  </si>
  <si>
    <t>Bombilla estándar LEXMAN casquillo E27</t>
  </si>
  <si>
    <t>https://www.leroymerlin.es/productos/iluminacion/bombillas-y-tubos/bombillas-led/bombillas-led-e27/bombilla-estandar-lexman-casquillo-e27-de-4000-k-84498941.html</t>
  </si>
  <si>
    <t>Alfombra poliéster INSPIRE Tony rosa 200x290cm</t>
  </si>
  <si>
    <t>https://www.leroymerlin.es/mi-cuenta/seguimiento-pedido.html/?orderId=813150&amp;storeNumber=014&amp;customerNumber=530781565</t>
  </si>
  <si>
    <t>Marco para lámina 50*70 negro</t>
  </si>
  <si>
    <t>https://www.leroymerlin.es/productos/decoracion/decoracion-de-pared/marcos-de-fotos-y-multifotos/marco-lila-negro-inspire-50x70cm-19319874.html</t>
  </si>
  <si>
    <t>Marco para lámina 50*70 blanco</t>
  </si>
  <si>
    <t>https://www.leroymerlin.es/productos/decoracion/decoracion-de-pared/marcos-de-fotos-y-multifotos/marco-lila-blanco-inspire-50x70cm-19319790.html</t>
  </si>
  <si>
    <t>Marco 70*100</t>
  </si>
  <si>
    <t>https://www.leroymerlin.es/productos/decoracion/decoracion-de-pared/marcos-de-fotos-y-multifotos/marco-milo-blanco-inspire-70x100cm-82294850.html</t>
  </si>
  <si>
    <t>Funda de cojín Horizon amarillo mostaza 60 x 60 cm</t>
  </si>
  <si>
    <t>https://www.leroymerlin.es/productos/decoracion/cojines/fundas-y-rellenos-de-cojin/funda-de-cojin-horizon-amarillo-mostaza-60-x-60-cm-83631121.html</t>
  </si>
  <si>
    <t>Funda de cojín Horizon verde helecho 60 x 60 cm</t>
  </si>
  <si>
    <t>https://www.leroymerlin.es/productos/decoracion/cojines/fundas-y-rellenos-de-cojin/funda-de-cojin-horizon-verde-helecho-60-x-60-cm-83631133.html</t>
  </si>
  <si>
    <t>Funda de cojín Horizon azul azulón 60 x 60 cm</t>
  </si>
  <si>
    <t>https://www.leroymerlin.es/productos/decoracion/cojines/fundas-y-rellenos-de-cojin/funda-de-cojin-horizon-azul-azulon-60-x-60-cm-83631141.html</t>
  </si>
  <si>
    <t>Funda de cojín Codi rojo coral 50x30cm</t>
  </si>
  <si>
    <t>https://www.leroymerlin.es/productos/decoracion/cojines/fundas-y-rellenos-de-cojin/funda-de-cojin-codi-rojo-coral-50x30cm-86881232.html</t>
  </si>
  <si>
    <t>Funda de cojín Montana verde 50x30cm</t>
  </si>
  <si>
    <t>https://www.leroymerlin.es/productos/decoracion/cojines/fundas-y-rellenos-de-cojin/funda-de-cojin-montana-verde-50x30cm-86881128.html</t>
  </si>
  <si>
    <t>Relleno de cojín INSPIRE de 60x40 cm</t>
  </si>
  <si>
    <t>https://www.leroymerlin.es/productos/decoracion/cojines/rellenos-de-cojin/relleno-de-cojin-inspire-de-60x40-cm-86825812.html</t>
  </si>
  <si>
    <t>Relleno de cojín INSPIRE de 45x45 cm</t>
  </si>
  <si>
    <t>https://www.leroymerlin.es/productos/decoracion/cojines/rellenos-de-cojin/relleno-de-cojin-inspire-de-45x45-cm-86825813.html</t>
  </si>
  <si>
    <t>Funda de cojín Horizon verde 60 x 40 cm</t>
  </si>
  <si>
    <t>https://www.leroymerlin.es/productos/decoracion/cojines/fundas-y-rellenos-de-cojin/funda-de-cojin-horizon-verde-60-x-40-cm-84467040.html</t>
  </si>
  <si>
    <t>Relleno de cojín INSPIRE de 50x30 cm</t>
  </si>
  <si>
    <t>https://www.leroymerlin.es/productos/decoracion/cojines/rellenos-de-cojin/relleno-de-cojin-inspire-de-50x30-cm-86825810.html</t>
  </si>
  <si>
    <t>Relleno de cojín INSPIRE de 60x60 cm</t>
  </si>
  <si>
    <t>https://www.leroymerlin.es/productos/decoracion/cojines/rellenos-de-cojin/relleno-de-cojin-inspire-de-60x60-cm-86825814.html</t>
  </si>
  <si>
    <t>Manta Trama gris algodón de 250x150 cm</t>
  </si>
  <si>
    <t>https://www.leroymerlin.es/productos/decoracion/ropa-de-cama/mantas-y-plaids/manta-trama-gris-algodon-de-250x150-cm-82736623.html</t>
  </si>
  <si>
    <t>CASIKA</t>
  </si>
  <si>
    <t>https://casika.es/products/consola-copenhague-gold-3-cajones</t>
  </si>
  <si>
    <t>MUEBLES DE CARTÓN</t>
  </si>
  <si>
    <t>TOTAL PAGADO</t>
  </si>
  <si>
    <t>Armario de 3 puertas 160x135CM (Cama de matrimonio)</t>
  </si>
  <si>
    <t>Armario de 1 puerta 160x45 (para ampliar cama de matrimonio)</t>
  </si>
  <si>
    <t>Sillon con funda - Color : Crema</t>
  </si>
  <si>
    <t>Sofá de 3 plazas con funda: Crema</t>
  </si>
  <si>
    <t>Sofá de 2 plazas con funda: Crema</t>
  </si>
  <si>
    <t>STOCK GENERAL</t>
  </si>
  <si>
    <t>Marbella</t>
  </si>
  <si>
    <t>Málaga</t>
  </si>
  <si>
    <t>Jaén</t>
  </si>
  <si>
    <t>Santander</t>
  </si>
  <si>
    <t>Barcelona</t>
  </si>
  <si>
    <t>Alicante</t>
  </si>
  <si>
    <t>Madrid</t>
  </si>
  <si>
    <t>Donosti</t>
  </si>
  <si>
    <t>Proveedor</t>
  </si>
  <si>
    <t>Referencia</t>
  </si>
  <si>
    <t>Artículo</t>
  </si>
  <si>
    <t>Unidades</t>
  </si>
  <si>
    <t>Zara Home</t>
  </si>
  <si>
    <t>1132/006</t>
  </si>
  <si>
    <t>Colcha 230x250</t>
  </si>
  <si>
    <t>Colcha 180x250</t>
  </si>
  <si>
    <t>Ikea</t>
  </si>
  <si>
    <t>INDIRA, colcha 230x250</t>
  </si>
  <si>
    <t>Sklum</t>
  </si>
  <si>
    <t>Hamacas terraza</t>
  </si>
  <si>
    <t>Casa</t>
  </si>
  <si>
    <t>Mesa Auxiliar terraza</t>
  </si>
  <si>
    <t>Mango</t>
  </si>
  <si>
    <t>GURLI, funda cojín beige 50x50</t>
  </si>
  <si>
    <t xml:space="preserve">304.717.39 </t>
  </si>
  <si>
    <t>Amazon</t>
  </si>
  <si>
    <t>Relleno cojines 30x50 Amazon</t>
  </si>
  <si>
    <t>Relleno cojines 50x50 Amazon</t>
  </si>
  <si>
    <t>Colcha para cama de 150</t>
  </si>
  <si>
    <t>Manta cubre sillón 230*290</t>
  </si>
  <si>
    <t>Juego 6 láminas 30x40</t>
  </si>
  <si>
    <t>Mesa Auxiliar terraza Amazon</t>
  </si>
  <si>
    <t>LOHALS, alfombra 200x300</t>
  </si>
  <si>
    <t>GURLI, funda de cojín 50x50</t>
  </si>
  <si>
    <t>SANELA, funda de cojín beige claro 40x58</t>
  </si>
  <si>
    <t>Leroy Merlin</t>
  </si>
  <si>
    <t>SMYCKA,Rama artificial, eucalipto/verde, 65cm</t>
  </si>
  <si>
    <t>904.976.99</t>
  </si>
  <si>
    <t>ÅKERBÄR, Macetero, int/ext/galvanizado, 12 cm</t>
  </si>
  <si>
    <t xml:space="preserve">005.921.15 </t>
  </si>
  <si>
    <t>MYRMOSAIK,  jarrón, verde, 18 cm</t>
  </si>
  <si>
    <t>305.827.99</t>
  </si>
  <si>
    <t>004.548.21</t>
  </si>
  <si>
    <t>004.783.51</t>
  </si>
  <si>
    <t>995.256.26</t>
  </si>
  <si>
    <t>403.865.90</t>
  </si>
  <si>
    <t>805.401.89</t>
  </si>
  <si>
    <t>805.601.39</t>
  </si>
  <si>
    <t>405.164.07</t>
  </si>
  <si>
    <t>Macetero, a mano bambú, 12 cm</t>
  </si>
  <si>
    <t>KLIPPOXEL mnt 130x170 naranja/rosa vivo</t>
  </si>
  <si>
    <t xml:space="preserve">Amazon </t>
  </si>
  <si>
    <t>Casika</t>
  </si>
  <si>
    <t>Consola Copenhague Gold</t>
  </si>
  <si>
    <t>MueblesDeCartón</t>
  </si>
  <si>
    <t>KMBL012</t>
  </si>
  <si>
    <t>KMBL010</t>
  </si>
  <si>
    <t>KMBL001A</t>
  </si>
  <si>
    <t>KMBL002C</t>
  </si>
  <si>
    <t>KMBL003A</t>
  </si>
  <si>
    <t>Marco Rodalm 40x50 efecto abedul</t>
  </si>
  <si>
    <t>TIPHEDE Alfombra natural/negro, 120x180</t>
  </si>
  <si>
    <t>VALLKRASSING, cojín 50x50 gris azulado claro</t>
  </si>
  <si>
    <t>HÄSTVISKARE arch efecto roble</t>
  </si>
  <si>
    <t>GULVIAL toall mano 50x100 blanco</t>
  </si>
  <si>
    <t>STORAVAN bañ 3 u blanco</t>
  </si>
  <si>
    <t>FORSA Lámpara flexo niquelado</t>
  </si>
  <si>
    <t>SMYCKA flor arti 30 peonía/blanco</t>
  </si>
  <si>
    <t>FEJKA planta arti 9 tomillo</t>
  </si>
  <si>
    <t>GURLI, funda de cojín 50x50 blanco</t>
  </si>
  <si>
    <t>SOJABÖNA macetero 9 blanco</t>
  </si>
  <si>
    <t>GULVIAL toalla mano 50x100 blanco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</si>
</sst>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44" fontId="0" fillId="0" borderId="1" xfId="2" applyFont="1" applyBorder="1" applyAlignment="1">
      <alignment horizontal="center"/>
    </xf>
    <xf numFmtId="44" fontId="0" fillId="0" borderId="1" xfId="2" applyFont="1" applyBorder="1" applyAlignment="1">
      <alignment horizontal="center" vertical="center"/>
    </xf>
    <xf numFmtId="44" fontId="0" fillId="0" borderId="3" xfId="2" applyFont="1" applyBorder="1" applyAlignment="1">
      <alignment horizontal="center" vertical="center"/>
    </xf>
    <xf numFmtId="44" fontId="0" fillId="0" borderId="0" xfId="0" applyNumberFormat="1" applyAlignment="1">
      <alignment horizontal="center"/>
    </xf>
    <xf numFmtId="44" fontId="0" fillId="2" borderId="1" xfId="2" applyFont="1" applyFill="1" applyBorder="1" applyAlignment="1">
      <alignment horizontal="center"/>
    </xf>
    <xf numFmtId="44" fontId="0" fillId="0" borderId="0" xfId="2" applyFont="1" applyBorder="1" applyAlignment="1">
      <alignment horizontal="center" vertical="center"/>
    </xf>
    <xf numFmtId="0" fontId="2" fillId="0" borderId="1" xfId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5" fillId="0" borderId="1" xfId="0" applyFont="1" applyBorder="1"/>
    <xf numFmtId="44" fontId="0" fillId="0" borderId="0" xfId="0" applyNumberFormat="1"/>
    <xf numFmtId="0" fontId="6" fillId="0" borderId="0" xfId="0" applyFont="1"/>
    <xf numFmtId="0" fontId="7" fillId="0" borderId="1" xfId="1" applyFont="1" applyFill="1" applyBorder="1" applyAlignment="1">
      <alignment horizontal="left" vertical="center"/>
    </xf>
    <xf numFmtId="0" fontId="7" fillId="0" borderId="0" xfId="1" applyFont="1"/>
    <xf numFmtId="0" fontId="7" fillId="0" borderId="1" xfId="1" applyFont="1" applyBorder="1" applyAlignment="1">
      <alignment horizontal="left" vertical="center" wrapText="1"/>
    </xf>
    <xf numFmtId="0" fontId="7" fillId="0" borderId="1" xfId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2" fillId="0" borderId="0" xfId="1"/>
    <xf numFmtId="0" fontId="2" fillId="0" borderId="1" xfId="1" applyBorder="1"/>
    <xf numFmtId="0" fontId="0" fillId="0" borderId="2" xfId="0" applyBorder="1"/>
    <xf numFmtId="0" fontId="0" fillId="0" borderId="2" xfId="0" applyBorder="1" applyAlignment="1">
      <alignment horizontal="center" vertical="center"/>
    </xf>
    <xf numFmtId="44" fontId="0" fillId="0" borderId="2" xfId="2" applyFont="1" applyBorder="1" applyAlignment="1">
      <alignment horizontal="center" vertical="center"/>
    </xf>
    <xf numFmtId="0" fontId="7" fillId="0" borderId="2" xfId="1" applyFont="1" applyBorder="1" applyAlignment="1">
      <alignment horizontal="left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44" fontId="0" fillId="0" borderId="1" xfId="2" applyFont="1" applyFill="1" applyBorder="1" applyAlignment="1">
      <alignment horizontal="center" vertical="center"/>
    </xf>
    <xf numFmtId="0" fontId="2" fillId="0" borderId="1" xfId="1" applyFill="1" applyBorder="1"/>
    <xf numFmtId="0" fontId="0" fillId="0" borderId="0" xfId="0" applyAlignment="1">
      <alignment horizontal="left"/>
    </xf>
    <xf numFmtId="0" fontId="0" fillId="0" borderId="1" xfId="0" applyBorder="1" applyAlignment="1">
      <alignment wrapText="1"/>
    </xf>
    <xf numFmtId="44" fontId="0" fillId="0" borderId="0" xfId="2" applyFont="1" applyFill="1" applyBorder="1" applyAlignment="1">
      <alignment horizontal="center" vertical="center"/>
    </xf>
    <xf numFmtId="0" fontId="2" fillId="0" borderId="0" xfId="1" applyBorder="1"/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44" fontId="0" fillId="0" borderId="2" xfId="2" applyFont="1" applyFill="1" applyBorder="1" applyAlignment="1">
      <alignment horizontal="center" vertical="center"/>
    </xf>
    <xf numFmtId="0" fontId="2" fillId="0" borderId="0" xfId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8" fillId="0" borderId="6" xfId="0" applyFont="1" applyBorder="1" applyAlignment="1">
      <alignment horizontal="center"/>
    </xf>
    <xf numFmtId="44" fontId="0" fillId="2" borderId="3" xfId="2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center" vertical="center"/>
    </xf>
    <xf numFmtId="44" fontId="0" fillId="2" borderId="0" xfId="2" applyFont="1" applyFill="1" applyBorder="1" applyAlignment="1">
      <alignment horizontal="center"/>
    </xf>
    <xf numFmtId="0" fontId="2" fillId="0" borderId="0" xfId="1" applyFill="1" applyBorder="1" applyAlignment="1">
      <alignment horizontal="left" vertical="center"/>
    </xf>
    <xf numFmtId="0" fontId="0" fillId="0" borderId="8" xfId="0" applyBorder="1"/>
    <xf numFmtId="0" fontId="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4" fontId="6" fillId="0" borderId="1" xfId="2" applyFont="1" applyFill="1" applyBorder="1" applyAlignment="1">
      <alignment horizontal="center" vertical="center"/>
    </xf>
    <xf numFmtId="44" fontId="6" fillId="0" borderId="1" xfId="2" applyFont="1" applyBorder="1" applyAlignment="1">
      <alignment horizontal="center" vertical="center"/>
    </xf>
    <xf numFmtId="44" fontId="1" fillId="2" borderId="1" xfId="2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colors>
    <mruColors>
      <color rgb="FFFF99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10/relationships/person" Target="persons/person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Zuriñe Simon" id="{0B4C6953-574E-4F26-B163-3788CD8DDDBE}" userId="S::zuri.simon@laehomes.com::778b65b1-016c-4b4e-9e72-15960c7563dc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9" dT="2025-03-26T09:03:15.35" personId="{0B4C6953-574E-4F26-B163-3788CD8DDDBE}" id="{D04F6F8B-13C2-45BA-ACF4-A1100C54D8CE}">
    <text xml:space="preserve">Beige
</text>
  </threadedComment>
</ThreadedComments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mazon.es/gp/product/B01KHILJ5O/ref=ppx_yo_dt_b_asin_title_o00_s00?ie=UTF8&amp;th=1" TargetMode="External"/><Relationship Id="rId21" Type="http://schemas.openxmlformats.org/officeDocument/2006/relationships/hyperlink" Target="https://www.leroymerlin.es/productos/decoracion/alfombras/todas-las-alfombras/alfombra-pie-de-cama-bambu-dubai-beige-blanco-80x150cm-82491402.html" TargetMode="External"/><Relationship Id="rId42" Type="http://schemas.openxmlformats.org/officeDocument/2006/relationships/hyperlink" Target="https://www.ikea.com/es/es/search/?q=30442025" TargetMode="External"/><Relationship Id="rId63" Type="http://schemas.openxmlformats.org/officeDocument/2006/relationships/hyperlink" Target="https://www.leroymerlin.es/productos/decoracion/cojines/fundas-y-rellenos-de-cojin/funda-de-cojin-codi-rojo-coral-50x30cm-86881232.html" TargetMode="External"/><Relationship Id="rId84" Type="http://schemas.openxmlformats.org/officeDocument/2006/relationships/hyperlink" Target="https://www.ikea.com/es/es/search/?q=10283409" TargetMode="External"/><Relationship Id="rId138" Type="http://schemas.openxmlformats.org/officeDocument/2006/relationships/hyperlink" Target="https://www.amazon.es/dp/B0CH8LPBSQ?ref=fed_asin_title&amp;th=1" TargetMode="External"/><Relationship Id="rId159" Type="http://schemas.openxmlformats.org/officeDocument/2006/relationships/hyperlink" Target="https://www.ikea.com/es/es/search/?q=90546572" TargetMode="External"/><Relationship Id="rId107" Type="http://schemas.openxmlformats.org/officeDocument/2006/relationships/hyperlink" Target="https://www.amazon.es/dp/B0D5CSHKB3?ref=fed_asin_title&amp;th=1" TargetMode="External"/><Relationship Id="rId11" Type="http://schemas.openxmlformats.org/officeDocument/2006/relationships/hyperlink" Target="https://www.ikea.com/es/es/search/?q=70395300" TargetMode="External"/><Relationship Id="rId32" Type="http://schemas.openxmlformats.org/officeDocument/2006/relationships/hyperlink" Target="https://www.amazon.es/gp/your-account/order-details/ref=ppx_yo_dt_b_order_details_o00?ie=UTF8&amp;orderID=171-7723047-3607519" TargetMode="External"/><Relationship Id="rId53" Type="http://schemas.openxmlformats.org/officeDocument/2006/relationships/hyperlink" Target="https://www.ikea.com/es/es/search/?q=20518030" TargetMode="External"/><Relationship Id="rId74" Type="http://schemas.openxmlformats.org/officeDocument/2006/relationships/hyperlink" Target="https://www.ikea.com/es/es/search/?q=00478351" TargetMode="External"/><Relationship Id="rId128" Type="http://schemas.openxmlformats.org/officeDocument/2006/relationships/hyperlink" Target="https://www.ikea.com/es/es/search/?q=10493978" TargetMode="External"/><Relationship Id="rId149" Type="http://schemas.openxmlformats.org/officeDocument/2006/relationships/hyperlink" Target="https://www.ikea.com/es/es/search/?q=00591795" TargetMode="External"/><Relationship Id="rId5" Type="http://schemas.openxmlformats.org/officeDocument/2006/relationships/hyperlink" Target="https://www.ikea.com/es/es/search/?q=60475793" TargetMode="External"/><Relationship Id="rId95" Type="http://schemas.openxmlformats.org/officeDocument/2006/relationships/hyperlink" Target="https://www.amazon.es/dp/B08PBSXPV4?psc=1&amp;smid=A6AH8775LOIS1&amp;ref_=chk_typ_imgToDp" TargetMode="External"/><Relationship Id="rId160" Type="http://schemas.openxmlformats.org/officeDocument/2006/relationships/hyperlink" Target="https://www.ikea.com/es/es/search/?q=90593276" TargetMode="External"/><Relationship Id="rId22" Type="http://schemas.openxmlformats.org/officeDocument/2006/relationships/hyperlink" Target="https://www.ikea.com/es/es/search/?q=70491575" TargetMode="External"/><Relationship Id="rId43" Type="http://schemas.openxmlformats.org/officeDocument/2006/relationships/hyperlink" Target="https://www.ikea.com/es/es/search/?q=80378423" TargetMode="External"/><Relationship Id="rId64" Type="http://schemas.openxmlformats.org/officeDocument/2006/relationships/hyperlink" Target="https://www.leroymerlin.es/productos/decoracion/cojines/rellenos-de-cojin/relleno-de-cojin-inspire-de-60x40-cm-86825812.html" TargetMode="External"/><Relationship Id="rId118" Type="http://schemas.openxmlformats.org/officeDocument/2006/relationships/hyperlink" Target="https://www.amazon.es/dp/B07T887YB1?smid=A3TSTKIZ79LR1Y&amp;ref_=chk_typ_imgToDp&amp;th=1" TargetMode="External"/><Relationship Id="rId139" Type="http://schemas.openxmlformats.org/officeDocument/2006/relationships/hyperlink" Target="https://www.amazon.es/dp/B0DTQXYLGF?ref=fed_asin_title&amp;th=1" TargetMode="External"/><Relationship Id="rId85" Type="http://schemas.openxmlformats.org/officeDocument/2006/relationships/hyperlink" Target="https://www.ikea.com/es/es/search/?q=00488034" TargetMode="External"/><Relationship Id="rId150" Type="http://schemas.openxmlformats.org/officeDocument/2006/relationships/hyperlink" Target="https://www.ikea.com/es/es/search/?q=50425529" TargetMode="External"/><Relationship Id="rId12" Type="http://schemas.openxmlformats.org/officeDocument/2006/relationships/hyperlink" Target="https://www.zarahome.com/es/colcha-algodon-lisa-l41132006?categoryId=0&amp;colorId=250&amp;srch=true" TargetMode="External"/><Relationship Id="rId17" Type="http://schemas.openxmlformats.org/officeDocument/2006/relationships/hyperlink" Target="https://www2.hm.com/es_es/productpage.0502190003.html" TargetMode="External"/><Relationship Id="rId33" Type="http://schemas.openxmlformats.org/officeDocument/2006/relationships/hyperlink" Target="https://www.ikea.com/es/es/search/?q=50519764" TargetMode="External"/><Relationship Id="rId38" Type="http://schemas.openxmlformats.org/officeDocument/2006/relationships/hyperlink" Target="https://www.ikea.com/es/es/search/?q=40456757" TargetMode="External"/><Relationship Id="rId59" Type="http://schemas.openxmlformats.org/officeDocument/2006/relationships/hyperlink" Target="https://www.amazon.es/gp/product/B07ZH45TMK/ref=ppx_yo_dt_b_asin_title_o03_s00?ie=UTF8&amp;th=1" TargetMode="External"/><Relationship Id="rId103" Type="http://schemas.openxmlformats.org/officeDocument/2006/relationships/hyperlink" Target="https://www.amazon.es/dp/B0DJ6HGZ89?ref=fed_asin_title&amp;th=1" TargetMode="External"/><Relationship Id="rId108" Type="http://schemas.openxmlformats.org/officeDocument/2006/relationships/hyperlink" Target="https://www.amazon.es/dp/B0BQDXL1J2?ref=fed_asin_title" TargetMode="External"/><Relationship Id="rId124" Type="http://schemas.openxmlformats.org/officeDocument/2006/relationships/hyperlink" Target="https://www.ikea.com/es/es/search/?q=80560139" TargetMode="External"/><Relationship Id="rId129" Type="http://schemas.openxmlformats.org/officeDocument/2006/relationships/hyperlink" Target="https://www.ikea.com/es/es/search/?q=10217141" TargetMode="External"/><Relationship Id="rId54" Type="http://schemas.openxmlformats.org/officeDocument/2006/relationships/hyperlink" Target="https://www.ikea.com/es/es/search/?q=40441619" TargetMode="External"/><Relationship Id="rId70" Type="http://schemas.openxmlformats.org/officeDocument/2006/relationships/hyperlink" Target="https://www.leroymerlin.es/mi-cuenta/seguimiento-pedido.html/?orderId=813150&amp;storeNumber=014&amp;customerNumber=530781565" TargetMode="External"/><Relationship Id="rId75" Type="http://schemas.openxmlformats.org/officeDocument/2006/relationships/hyperlink" Target="https://www.ikea.com/es/es/search/?q=80540189" TargetMode="External"/><Relationship Id="rId91" Type="http://schemas.openxmlformats.org/officeDocument/2006/relationships/hyperlink" Target="https://casika.es/products/consola-copenhague-gold-3-cajones" TargetMode="External"/><Relationship Id="rId96" Type="http://schemas.openxmlformats.org/officeDocument/2006/relationships/hyperlink" Target="https://www.amazon.es/dp/B0D78J9JN5?psc=1&amp;smid=AZ16IMEVZD9Q0&amp;ref_=chk_typ_imgToDp" TargetMode="External"/><Relationship Id="rId140" Type="http://schemas.openxmlformats.org/officeDocument/2006/relationships/hyperlink" Target="https://www.amazon.es/dp/B0C7855NJ7?ref=fed_asin_title&amp;th=1" TargetMode="External"/><Relationship Id="rId145" Type="http://schemas.openxmlformats.org/officeDocument/2006/relationships/hyperlink" Target="https://www.amazon.es/dp/B0BRKQLMJF?ref=fed_asin_title&amp;th=1" TargetMode="External"/><Relationship Id="rId161" Type="http://schemas.openxmlformats.org/officeDocument/2006/relationships/hyperlink" Target="https://www.ikea.com/es/es/search/?q=30446896" TargetMode="External"/><Relationship Id="rId1" Type="http://schemas.openxmlformats.org/officeDocument/2006/relationships/hyperlink" Target="https://www.ikea.com/es/es/search/?q=90155870" TargetMode="External"/><Relationship Id="rId6" Type="http://schemas.openxmlformats.org/officeDocument/2006/relationships/hyperlink" Target="https://www.ikea.com/es/es/search/?q=70186655" TargetMode="External"/><Relationship Id="rId23" Type="http://schemas.openxmlformats.org/officeDocument/2006/relationships/hyperlink" Target="https://www.ikea.com/es/es/search/?q=40454819" TargetMode="External"/><Relationship Id="rId28" Type="http://schemas.openxmlformats.org/officeDocument/2006/relationships/hyperlink" Target="https://www.ikea.com/es/es/search/?q=40527397" TargetMode="External"/><Relationship Id="rId49" Type="http://schemas.openxmlformats.org/officeDocument/2006/relationships/hyperlink" Target="https://www.ikea.com/es/es/search/?q=10570702" TargetMode="External"/><Relationship Id="rId114" Type="http://schemas.openxmlformats.org/officeDocument/2006/relationships/hyperlink" Target="https://www.amazon.es/gp/product/B08P8D7DJH/ref=ppx_yo_dt_b_asin_title_o07_s00?ie=UTF8&amp;th=1" TargetMode="External"/><Relationship Id="rId119" Type="http://schemas.openxmlformats.org/officeDocument/2006/relationships/hyperlink" Target="https://www.amazon.es/dp/B0DH3RH86Z?smid=AIZLPT96DZ1DT&amp;ref_=chk_typ_imgToDp&amp;th=1" TargetMode="External"/><Relationship Id="rId44" Type="http://schemas.openxmlformats.org/officeDocument/2006/relationships/hyperlink" Target="https://www.ikea.com/es/es/search/?q=50592113" TargetMode="External"/><Relationship Id="rId60" Type="http://schemas.openxmlformats.org/officeDocument/2006/relationships/hyperlink" Target="https://www.leroymerlin.es/productos/decoracion/cojines/fundas-y-rellenos-de-cojin/funda-de-cojin-horizon-amarillo-mostaza-60-x-60-cm-83631121.html" TargetMode="External"/><Relationship Id="rId65" Type="http://schemas.openxmlformats.org/officeDocument/2006/relationships/hyperlink" Target="https://www.leroymerlin.es/productos/decoracion/cojines/rellenos-de-cojin/relleno-de-cojin-inspire-de-45x45-cm-86825813.html" TargetMode="External"/><Relationship Id="rId81" Type="http://schemas.openxmlformats.org/officeDocument/2006/relationships/hyperlink" Target="https://www.ikea.com/es/es/search/?q=00384017" TargetMode="External"/><Relationship Id="rId86" Type="http://schemas.openxmlformats.org/officeDocument/2006/relationships/hyperlink" Target="https://www.ikea.com/es/es/search/?q=10465051" TargetMode="External"/><Relationship Id="rId130" Type="http://schemas.openxmlformats.org/officeDocument/2006/relationships/hyperlink" Target="https://www.ikea.com/es/es/search/?q=30219889" TargetMode="External"/><Relationship Id="rId135" Type="http://schemas.openxmlformats.org/officeDocument/2006/relationships/hyperlink" Target="https://www.amazon.es/dp/B0BK9HWPNH?ref=fed_asin_title&amp;th=1" TargetMode="External"/><Relationship Id="rId151" Type="http://schemas.openxmlformats.org/officeDocument/2006/relationships/hyperlink" Target="https://www.ikea.com/es/es/search/?q=40350666" TargetMode="External"/><Relationship Id="rId156" Type="http://schemas.openxmlformats.org/officeDocument/2006/relationships/hyperlink" Target="https://www.ikea.com/es/es/search/?q=50512649" TargetMode="External"/><Relationship Id="rId13" Type="http://schemas.openxmlformats.org/officeDocument/2006/relationships/hyperlink" Target="https://www.zarahome.com/es/colcha-algodon-lisa-l41132006?categoryId=0&amp;colorId=250&amp;srch=true" TargetMode="External"/><Relationship Id="rId18" Type="http://schemas.openxmlformats.org/officeDocument/2006/relationships/hyperlink" Target="https://shop.mango.com/es/home/fundas-cojines-lisas/funda-de-cojin-100-algodon-30x50cm_57022524.html?c=08&amp;t=02" TargetMode="External"/><Relationship Id="rId39" Type="http://schemas.openxmlformats.org/officeDocument/2006/relationships/hyperlink" Target="https://www.ikea.com/es/es/search/?q=70513624" TargetMode="External"/><Relationship Id="rId109" Type="http://schemas.openxmlformats.org/officeDocument/2006/relationships/hyperlink" Target="https://www.amazon.es/dp/B0BPYXZZ35?ref=fed_asin_title" TargetMode="External"/><Relationship Id="rId34" Type="http://schemas.openxmlformats.org/officeDocument/2006/relationships/hyperlink" Target="https://www.ikea.com/es/es/search/?q=69506002" TargetMode="External"/><Relationship Id="rId50" Type="http://schemas.openxmlformats.org/officeDocument/2006/relationships/hyperlink" Target="https://www.ikea.com/es/es/search/?q=80148465" TargetMode="External"/><Relationship Id="rId55" Type="http://schemas.openxmlformats.org/officeDocument/2006/relationships/hyperlink" Target="https://www.ikea.com/es/es/search/?q=80328145" TargetMode="External"/><Relationship Id="rId76" Type="http://schemas.openxmlformats.org/officeDocument/2006/relationships/hyperlink" Target="https://www.ikea.com/es/es/search/?q=99525626" TargetMode="External"/><Relationship Id="rId97" Type="http://schemas.openxmlformats.org/officeDocument/2006/relationships/hyperlink" Target="https://www.amazon.es/dp/B08BZFKSBC?psc=1&amp;smid=A26DNWB48DSU5G&amp;ref_=chk_typ_imgToDp" TargetMode="External"/><Relationship Id="rId104" Type="http://schemas.openxmlformats.org/officeDocument/2006/relationships/hyperlink" Target="https://www.amazon.es/dp/B0D73YV7Z1?ref=fed_asin_title&amp;th=1" TargetMode="External"/><Relationship Id="rId120" Type="http://schemas.openxmlformats.org/officeDocument/2006/relationships/hyperlink" Target="https://www.amazon.es/dp/B0BXCRWRWV?smid=A1ZT97AYJ0T660&amp;ref_=chk_typ_imgToDp&amp;th=1" TargetMode="External"/><Relationship Id="rId125" Type="http://schemas.openxmlformats.org/officeDocument/2006/relationships/hyperlink" Target="https://www.ikea.com/es/es/search/?q=40516407" TargetMode="External"/><Relationship Id="rId141" Type="http://schemas.openxmlformats.org/officeDocument/2006/relationships/hyperlink" Target="https://www.amazon.es/dp/B0C784NMSW?ref=fed_asin_title&amp;th=1" TargetMode="External"/><Relationship Id="rId146" Type="http://schemas.openxmlformats.org/officeDocument/2006/relationships/hyperlink" Target="https://www.ikea.com/es/es/search/?q=20491040" TargetMode="External"/><Relationship Id="rId7" Type="http://schemas.openxmlformats.org/officeDocument/2006/relationships/hyperlink" Target="https://www.ikea.com/es/es/search/?q=40452368" TargetMode="External"/><Relationship Id="rId71" Type="http://schemas.openxmlformats.org/officeDocument/2006/relationships/hyperlink" Target="https://www.ikea.com/es/es/search/?q=90497699" TargetMode="External"/><Relationship Id="rId92" Type="http://schemas.openxmlformats.org/officeDocument/2006/relationships/hyperlink" Target="https://www.amazon.es/dp/B0B11XW16X?psc=1&amp;smid=A284KXCM7HH2C7&amp;ref_=chk_typ_imgToDp" TargetMode="External"/><Relationship Id="rId162" Type="http://schemas.openxmlformats.org/officeDocument/2006/relationships/hyperlink" Target="https://www.ikea.com/es/es/search/?q=00533588" TargetMode="External"/><Relationship Id="rId2" Type="http://schemas.openxmlformats.org/officeDocument/2006/relationships/hyperlink" Target="https://www.ikea.com/es/es/search/?q=00441904" TargetMode="External"/><Relationship Id="rId29" Type="http://schemas.openxmlformats.org/officeDocument/2006/relationships/hyperlink" Target="https://www.ikea.com/es/es/search/?q=70520926" TargetMode="External"/><Relationship Id="rId24" Type="http://schemas.openxmlformats.org/officeDocument/2006/relationships/hyperlink" Target="https://www.amazon.es/gp/product/B0B4T38H17/ref=ppx_yo_dt_b_asin_title_o00_s00?ie=UTF8&amp;psc=1" TargetMode="External"/><Relationship Id="rId40" Type="http://schemas.openxmlformats.org/officeDocument/2006/relationships/hyperlink" Target="https://www.ikea.com/es/es/search/?q=10508456" TargetMode="External"/><Relationship Id="rId45" Type="http://schemas.openxmlformats.org/officeDocument/2006/relationships/hyperlink" Target="https://www.ikea.com/es/es/search/?q=80335773" TargetMode="External"/><Relationship Id="rId66" Type="http://schemas.openxmlformats.org/officeDocument/2006/relationships/hyperlink" Target="https://www.leroymerlin.es/productos/decoracion/cojines/fundas-y-rellenos-de-cojin/funda-de-cojin-horizon-verde-60-x-40-cm-84467040.html" TargetMode="External"/><Relationship Id="rId87" Type="http://schemas.openxmlformats.org/officeDocument/2006/relationships/hyperlink" Target="https://www.ikea.com/es/es/search/?q=90585059" TargetMode="External"/><Relationship Id="rId110" Type="http://schemas.openxmlformats.org/officeDocument/2006/relationships/hyperlink" Target="https://www.amazon.es/dp/B08PBT6X7P?ref=fed_asin_title&amp;th=1" TargetMode="External"/><Relationship Id="rId115" Type="http://schemas.openxmlformats.org/officeDocument/2006/relationships/hyperlink" Target="https://www.amazon.es/gp/product/B0CP7WD8Q9/ref=ppx_yo_dt_b_asin_title_o08_s00?ie=UTF8&amp;th=1" TargetMode="External"/><Relationship Id="rId131" Type="http://schemas.openxmlformats.org/officeDocument/2006/relationships/hyperlink" Target="https://www.amazon.es/dp/B0DL6G3DKV?ref=fed_asin_title&amp;th=1" TargetMode="External"/><Relationship Id="rId136" Type="http://schemas.openxmlformats.org/officeDocument/2006/relationships/hyperlink" Target="https://www.amazon.es/dp/B0000AIRY7?ref=fed_asin_title" TargetMode="External"/><Relationship Id="rId157" Type="http://schemas.openxmlformats.org/officeDocument/2006/relationships/hyperlink" Target="https://www.ikea.com/es/es/search/?q=00579699" TargetMode="External"/><Relationship Id="rId61" Type="http://schemas.openxmlformats.org/officeDocument/2006/relationships/hyperlink" Target="https://www.leroymerlin.es/productos/decoracion/cojines/fundas-y-rellenos-de-cojin/funda-de-cojin-horizon-verde-helecho-60-x-60-cm-83631133.html" TargetMode="External"/><Relationship Id="rId82" Type="http://schemas.openxmlformats.org/officeDocument/2006/relationships/hyperlink" Target="https://www.ikea.com/es/es/search/?q=60562714" TargetMode="External"/><Relationship Id="rId152" Type="http://schemas.openxmlformats.org/officeDocument/2006/relationships/hyperlink" Target="https://www.ikea.com/es/es/search/?q=50561809" TargetMode="External"/><Relationship Id="rId19" Type="http://schemas.openxmlformats.org/officeDocument/2006/relationships/hyperlink" Target="https://www2.hm.com/es_es/productpage.0502190066.html" TargetMode="External"/><Relationship Id="rId14" Type="http://schemas.openxmlformats.org/officeDocument/2006/relationships/hyperlink" Target="https://www.sklum.com/es/comprar-hamacas/102986-hamaca-plegable-con-cojin-en-madera-kardis.html?id_c=204899" TargetMode="External"/><Relationship Id="rId30" Type="http://schemas.openxmlformats.org/officeDocument/2006/relationships/hyperlink" Target="https://www.ikea.com/es/es/search/?q=10548631" TargetMode="External"/><Relationship Id="rId35" Type="http://schemas.openxmlformats.org/officeDocument/2006/relationships/hyperlink" Target="https://www.ikea.com/es/es/search/?q=10234862" TargetMode="External"/><Relationship Id="rId56" Type="http://schemas.openxmlformats.org/officeDocument/2006/relationships/hyperlink" Target="https://www.ikea.com/es/es/search/?q=70512648" TargetMode="External"/><Relationship Id="rId77" Type="http://schemas.openxmlformats.org/officeDocument/2006/relationships/hyperlink" Target="https://www.ikea.com/es/es/search/?q=40386590" TargetMode="External"/><Relationship Id="rId100" Type="http://schemas.openxmlformats.org/officeDocument/2006/relationships/hyperlink" Target="https://www.amazon.es/dp/B09G7W95CX?psc=1&amp;smid=A13P6277X44WWB&amp;ref_=chk_typ_imgToDp" TargetMode="External"/><Relationship Id="rId105" Type="http://schemas.openxmlformats.org/officeDocument/2006/relationships/hyperlink" Target="https://www.amazon.es/dp/B0BFLJ1W16?ref=fed_asin_title&amp;th=1" TargetMode="External"/><Relationship Id="rId126" Type="http://schemas.openxmlformats.org/officeDocument/2006/relationships/hyperlink" Target="https://www.ikea.com/es/es/search/?q=30457328" TargetMode="External"/><Relationship Id="rId147" Type="http://schemas.openxmlformats.org/officeDocument/2006/relationships/hyperlink" Target="https://www.ikea.com/es/es/search/?q=90550696" TargetMode="External"/><Relationship Id="rId8" Type="http://schemas.openxmlformats.org/officeDocument/2006/relationships/hyperlink" Target="https://www.ikea.com/es/es/search/?q=70533575" TargetMode="External"/><Relationship Id="rId51" Type="http://schemas.openxmlformats.org/officeDocument/2006/relationships/hyperlink" Target="https://www.ikea.com/es/es/search/?q=20468110" TargetMode="External"/><Relationship Id="rId72" Type="http://schemas.openxmlformats.org/officeDocument/2006/relationships/hyperlink" Target="https://www.ikea.com/es/es/search/?q=00592115" TargetMode="External"/><Relationship Id="rId93" Type="http://schemas.openxmlformats.org/officeDocument/2006/relationships/hyperlink" Target="https://www.amazon.es/dp/B07LH4KW3P?psc=1&amp;smid=A1AT7YVPFBWXBL&amp;ref_=chk_typ_imgToDp" TargetMode="External"/><Relationship Id="rId98" Type="http://schemas.openxmlformats.org/officeDocument/2006/relationships/hyperlink" Target="https://www.amazon.es/dp/B0DGT82NQB?psc=1&amp;smid=A1YAM7MTTULO90&amp;ref_=chk_typ_imgToDp" TargetMode="External"/><Relationship Id="rId121" Type="http://schemas.openxmlformats.org/officeDocument/2006/relationships/hyperlink" Target="https://www.ikea.com/es/es/p/kullen-comoda-2-cajones-blanco-80309241/" TargetMode="External"/><Relationship Id="rId142" Type="http://schemas.openxmlformats.org/officeDocument/2006/relationships/hyperlink" Target="https://www.amazon.es/dp/B0C783ZHVY?ref=fed_asin_title&amp;th=1" TargetMode="External"/><Relationship Id="rId163" Type="http://schemas.openxmlformats.org/officeDocument/2006/relationships/hyperlink" Target="https://www.ikea.com/es/es/search/?q=50571097" TargetMode="External"/><Relationship Id="rId3" Type="http://schemas.openxmlformats.org/officeDocument/2006/relationships/hyperlink" Target="https://www.ikea.com/es/es/search/?q=40414079" TargetMode="External"/><Relationship Id="rId25" Type="http://schemas.openxmlformats.org/officeDocument/2006/relationships/hyperlink" Target="https://www.ikea.com/es/es/search/?q=20528411" TargetMode="External"/><Relationship Id="rId46" Type="http://schemas.openxmlformats.org/officeDocument/2006/relationships/hyperlink" Target="https://www.ikea.com/es/es/search/?q=40065160" TargetMode="External"/><Relationship Id="rId67" Type="http://schemas.openxmlformats.org/officeDocument/2006/relationships/hyperlink" Target="https://www.leroymerlin.es/productos/decoracion/cojines/rellenos-de-cojin/relleno-de-cojin-inspire-de-50x30-cm-86825810.html" TargetMode="External"/><Relationship Id="rId116" Type="http://schemas.openxmlformats.org/officeDocument/2006/relationships/hyperlink" Target="https://www.amazon.es/gp/product/B0CF5BRB16/ref=ppx_yo_dt_b_asin_title_o09_s00?ie=UTF8&amp;psc=1" TargetMode="External"/><Relationship Id="rId137" Type="http://schemas.openxmlformats.org/officeDocument/2006/relationships/hyperlink" Target="https://www.amazon.es/dp/B0CH8PF825?ref=fed_asin_title" TargetMode="External"/><Relationship Id="rId158" Type="http://schemas.openxmlformats.org/officeDocument/2006/relationships/hyperlink" Target="https://www.ikea.com/es/es/search/?q=40082536" TargetMode="External"/><Relationship Id="rId20" Type="http://schemas.openxmlformats.org/officeDocument/2006/relationships/hyperlink" Target="https://es.casashops.com/es/productos/joshua-mesa-plegable-602777/602777/?gclid=EAIaIQobChMIxc_D1u69gAMVWkJBAh2gQA2WEAQYAyABEgLjUvD_BwE" TargetMode="External"/><Relationship Id="rId41" Type="http://schemas.openxmlformats.org/officeDocument/2006/relationships/hyperlink" Target="https://www.ikea.com/es/es/search/?q=80519767" TargetMode="External"/><Relationship Id="rId62" Type="http://schemas.openxmlformats.org/officeDocument/2006/relationships/hyperlink" Target="https://www.leroymerlin.es/productos/decoracion/cojines/fundas-y-rellenos-de-cojin/funda-de-cojin-horizon-azul-azulon-60-x-60-cm-83631141.html" TargetMode="External"/><Relationship Id="rId83" Type="http://schemas.openxmlformats.org/officeDocument/2006/relationships/hyperlink" Target="https://www.ikea.com/es/es/search/?q=80233430" TargetMode="External"/><Relationship Id="rId88" Type="http://schemas.openxmlformats.org/officeDocument/2006/relationships/hyperlink" Target="https://www.ikea.com/es/es/search/?q=00584629" TargetMode="External"/><Relationship Id="rId111" Type="http://schemas.openxmlformats.org/officeDocument/2006/relationships/hyperlink" Target="https://www.amazon.es/dp/B0D4DYLKXZ?ref=fed_asin_title&amp;th=1" TargetMode="External"/><Relationship Id="rId132" Type="http://schemas.openxmlformats.org/officeDocument/2006/relationships/hyperlink" Target="https://www.amazon.es/dp/B0D12WXNXK?ref=fed_asin_title" TargetMode="External"/><Relationship Id="rId153" Type="http://schemas.openxmlformats.org/officeDocument/2006/relationships/hyperlink" Target="https://www.ikea.com/es/es/search/?q=30433945" TargetMode="External"/><Relationship Id="rId15" Type="http://schemas.openxmlformats.org/officeDocument/2006/relationships/hyperlink" Target="https://www2.hm.com/es_es/productpage.1088417001.html" TargetMode="External"/><Relationship Id="rId36" Type="http://schemas.openxmlformats.org/officeDocument/2006/relationships/hyperlink" Target="https://www.ikea.com/es/es/search/?q=00442197" TargetMode="External"/><Relationship Id="rId57" Type="http://schemas.openxmlformats.org/officeDocument/2006/relationships/hyperlink" Target="https://www.leroymerlin.es/productos/decoracion/decoracion-de-pared/marcos-de-fotos-y-multifotos/marco-milo-blanco-inspire-70x100cm-82294850.html" TargetMode="External"/><Relationship Id="rId106" Type="http://schemas.openxmlformats.org/officeDocument/2006/relationships/hyperlink" Target="https://www.amazon.es/dp/B0C48Z51VN?ref=fed_asin_title&amp;th=1" TargetMode="External"/><Relationship Id="rId127" Type="http://schemas.openxmlformats.org/officeDocument/2006/relationships/hyperlink" Target="https://www.sklum.com/es/comprar-hamacas/102986-hamaca-plegable-con-cojin-en-madera-kardis.html?id_c=334608" TargetMode="External"/><Relationship Id="rId10" Type="http://schemas.openxmlformats.org/officeDocument/2006/relationships/hyperlink" Target="https://www.ikea.com/es/es/search/?q=30493350" TargetMode="External"/><Relationship Id="rId31" Type="http://schemas.openxmlformats.org/officeDocument/2006/relationships/hyperlink" Target="https://www.ikea.com/es/es/search/?q=10446920" TargetMode="External"/><Relationship Id="rId52" Type="http://schemas.openxmlformats.org/officeDocument/2006/relationships/hyperlink" Target="https://www.ikea.com/es/es/search/?q=20282942" TargetMode="External"/><Relationship Id="rId73" Type="http://schemas.openxmlformats.org/officeDocument/2006/relationships/hyperlink" Target="https://www.ikea.com/es/es/search/?q=30582799" TargetMode="External"/><Relationship Id="rId78" Type="http://schemas.openxmlformats.org/officeDocument/2006/relationships/hyperlink" Target="https://www.amazon.es/gp/product/B0C84WV5LW/ref=ppx_yo_dt_b_asin_title_o05_s00?ie=UTF8&amp;th=1" TargetMode="External"/><Relationship Id="rId94" Type="http://schemas.openxmlformats.org/officeDocument/2006/relationships/hyperlink" Target="https://www.amazon.es/dp/B07LH4KW3P?psc=1&amp;smid=A1AT7YVPFBWXBL&amp;ref_=chk_typ_imgToDp" TargetMode="External"/><Relationship Id="rId99" Type="http://schemas.openxmlformats.org/officeDocument/2006/relationships/hyperlink" Target="https://www.amazon.es/dp/B08LV5FMDK?psc=1&amp;smid=ALF9HEN3GEX03&amp;ref_=chk_typ_imgToDp" TargetMode="External"/><Relationship Id="rId101" Type="http://schemas.openxmlformats.org/officeDocument/2006/relationships/hyperlink" Target="https://www.amazon.es/dp/B08VHSVMZ2?psc=1&amp;smid=A1PQIIO52BJNPL&amp;ref_=chk_typ_imgToDp" TargetMode="External"/><Relationship Id="rId122" Type="http://schemas.openxmlformats.org/officeDocument/2006/relationships/hyperlink" Target="https://www.ikea.com/es/es/p/sanela-funda-cojin-beige-claro-50590897/" TargetMode="External"/><Relationship Id="rId143" Type="http://schemas.openxmlformats.org/officeDocument/2006/relationships/hyperlink" Target="https://www.amazon.es/dp/B0CL9V6P1G?ref=fed_asin_title&amp;th=1" TargetMode="External"/><Relationship Id="rId148" Type="http://schemas.openxmlformats.org/officeDocument/2006/relationships/hyperlink" Target="https://www.ikea.com/es/es/search/?q=30559548" TargetMode="External"/><Relationship Id="rId164" Type="http://schemas.openxmlformats.org/officeDocument/2006/relationships/hyperlink" Target="https://www.amazon.es/dp/B0DWTDKNFV?smid=A24J6P3SDAHGNI&amp;ref_=chk_typ_imgToDp&amp;th=1" TargetMode="External"/><Relationship Id="rId4" Type="http://schemas.openxmlformats.org/officeDocument/2006/relationships/hyperlink" Target="https://www.ikea.com/es/es/search/?q=50475760" TargetMode="External"/><Relationship Id="rId9" Type="http://schemas.openxmlformats.org/officeDocument/2006/relationships/hyperlink" Target="https://www.ikea.com/es/es/search/?q=50542533" TargetMode="External"/><Relationship Id="rId26" Type="http://schemas.openxmlformats.org/officeDocument/2006/relationships/hyperlink" Target="https://shop.mango.com/es/home/fundas-cojines-lisas/funda-de-cojin-100-algodon-30x50cm_57022524.html?c=59&amp;t=02" TargetMode="External"/><Relationship Id="rId47" Type="http://schemas.openxmlformats.org/officeDocument/2006/relationships/hyperlink" Target="https://www.amazon.es/gp/product/B0CLYCGFPL/ref=ppx_yo_dt_b_asin_title_o01_s00?ie=UTF8&amp;psc=1" TargetMode="External"/><Relationship Id="rId68" Type="http://schemas.openxmlformats.org/officeDocument/2006/relationships/hyperlink" Target="https://www.leroymerlin.es/productos/decoracion/cojines/rellenos-de-cojin/relleno-de-cojin-inspire-de-60x60-cm-86825814.html" TargetMode="External"/><Relationship Id="rId89" Type="http://schemas.openxmlformats.org/officeDocument/2006/relationships/hyperlink" Target="https://www.ikea.com/es/es/search/?q=60584626" TargetMode="External"/><Relationship Id="rId112" Type="http://schemas.openxmlformats.org/officeDocument/2006/relationships/hyperlink" Target="https://www.amazon.es/dp/B0D4D8BMCT?ref=fed_asin_title&amp;th=1" TargetMode="External"/><Relationship Id="rId133" Type="http://schemas.openxmlformats.org/officeDocument/2006/relationships/hyperlink" Target="https://www.amazon.es/dp/B08HJFRRYY?ref=fed_asin_title&amp;th=1" TargetMode="External"/><Relationship Id="rId154" Type="http://schemas.openxmlformats.org/officeDocument/2006/relationships/hyperlink" Target="https://www.ikea.com/es/es/search/?q=00395624" TargetMode="External"/><Relationship Id="rId16" Type="http://schemas.openxmlformats.org/officeDocument/2006/relationships/hyperlink" Target="https://www2.hm.com/es_es/productpage.0502190082.html" TargetMode="External"/><Relationship Id="rId37" Type="http://schemas.openxmlformats.org/officeDocument/2006/relationships/hyperlink" Target="https://www.ikea.com/es/es/search/?q=40384020" TargetMode="External"/><Relationship Id="rId58" Type="http://schemas.openxmlformats.org/officeDocument/2006/relationships/hyperlink" Target="https://www.amazon.es/gp/product/B0CMJFKBD2/ref=ppx_yo_dt_b_asin_image_o02_s00?ie=UTF8&amp;th=1" TargetMode="External"/><Relationship Id="rId79" Type="http://schemas.openxmlformats.org/officeDocument/2006/relationships/hyperlink" Target="https://www.amazon.es/gp/product/B0BM9HJJBL/ref=ppx_yo_dt_b_asin_title_o04_s02?ie=UTF8&amp;psc=1" TargetMode="External"/><Relationship Id="rId102" Type="http://schemas.openxmlformats.org/officeDocument/2006/relationships/hyperlink" Target="https://www.amazon.es/dp/B0BHDW6QH8?ref=fed_asin_title" TargetMode="External"/><Relationship Id="rId123" Type="http://schemas.openxmlformats.org/officeDocument/2006/relationships/hyperlink" Target="https://www.ikea.com/es/es/search/?q=10592365" TargetMode="External"/><Relationship Id="rId144" Type="http://schemas.openxmlformats.org/officeDocument/2006/relationships/hyperlink" Target="https://www.amazon.es/dp/B071H3DSGF?ref=fed_asin_title" TargetMode="External"/><Relationship Id="rId90" Type="http://schemas.openxmlformats.org/officeDocument/2006/relationships/hyperlink" Target="https://www.amazon.es/gp/product/B09V85L39M/ref=ppx_yo_dt_b_asin_title_o04_s00?ie=UTF8&amp;psc=1" TargetMode="External"/><Relationship Id="rId165" Type="http://schemas.openxmlformats.org/officeDocument/2006/relationships/printerSettings" Target="../printerSettings/printerSettings1.bin"/><Relationship Id="rId27" Type="http://schemas.openxmlformats.org/officeDocument/2006/relationships/hyperlink" Target="https://shop.mango.com/es/home/fundas-cojines-lisas/funda-de-cojin-100-algodon-30x50cm_57022524.html?c=43&amp;t=02" TargetMode="External"/><Relationship Id="rId48" Type="http://schemas.openxmlformats.org/officeDocument/2006/relationships/hyperlink" Target="https://www.ikea.com/es/es/search/?q=70233421" TargetMode="External"/><Relationship Id="rId69" Type="http://schemas.openxmlformats.org/officeDocument/2006/relationships/hyperlink" Target="https://www.leroymerlin.es/productos/decoracion/ropa-de-cama/mantas-y-plaids/manta-trama-gris-algodon-de-250x150-cm-82736623.html" TargetMode="External"/><Relationship Id="rId113" Type="http://schemas.openxmlformats.org/officeDocument/2006/relationships/hyperlink" Target="https://www.ikea.com/es/es/p/sojabona-macetero-blanco-50533576/" TargetMode="External"/><Relationship Id="rId134" Type="http://schemas.openxmlformats.org/officeDocument/2006/relationships/hyperlink" Target="https://www.amazon.es/dp/B0CZKZWMF7?ref=fed_asin_title&amp;th=1" TargetMode="External"/><Relationship Id="rId80" Type="http://schemas.openxmlformats.org/officeDocument/2006/relationships/hyperlink" Target="https://www.ikea.com/es/es/search/?q=40561800" TargetMode="External"/><Relationship Id="rId155" Type="http://schemas.openxmlformats.org/officeDocument/2006/relationships/hyperlink" Target="https://www.ikea.com/es/es/search/?q=00591130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1AF0B-1B84-4809-B5CA-944F5FA7EDE6}">
  <dimension ref="A3:I364"/>
  <sheetViews>
    <sheetView tabSelected="1" workbookViewId="0">
      <selection activeCell="B128" sqref="B128"/>
    </sheetView>
  </sheetViews>
  <sheetFormatPr baseColWidth="10" defaultColWidth="11.44140625" defaultRowHeight="14.4" x14ac:dyDescent="0.3"/>
  <cols>
    <col min="2" max="2" width="64.88671875" bestFit="1" customWidth="1"/>
    <col min="3" max="3" width="10.33203125" style="3" customWidth="1"/>
    <col min="4" max="4" width="15.88671875" style="3" customWidth="1"/>
    <col min="5" max="5" width="13.6640625" style="1" customWidth="1"/>
    <col min="6" max="6" width="174.88671875" style="19" bestFit="1" customWidth="1"/>
    <col min="9" max="9" width="15.109375" bestFit="1" customWidth="1"/>
  </cols>
  <sheetData>
    <row r="3" spans="2:9" ht="23.4" customHeight="1" x14ac:dyDescent="0.3">
      <c r="B3" s="6" t="s">
        <v>0</v>
      </c>
      <c r="C3" s="6" t="s">
        <v>1</v>
      </c>
      <c r="D3" s="6" t="s">
        <v>2</v>
      </c>
      <c r="E3" s="6" t="s">
        <v>3</v>
      </c>
      <c r="I3" s="18">
        <f>E6+E9+E13+E21+E27+E107+E319+E348</f>
        <v>13842.919999999967</v>
      </c>
    </row>
    <row r="4" spans="2:9" x14ac:dyDescent="0.3">
      <c r="B4" s="7" t="s">
        <v>4</v>
      </c>
      <c r="C4" s="4">
        <v>3</v>
      </c>
      <c r="D4" s="9">
        <v>59.99</v>
      </c>
      <c r="E4" s="8">
        <f>D4*3</f>
        <v>179.97</v>
      </c>
      <c r="F4" s="20" t="s">
        <v>5</v>
      </c>
    </row>
    <row r="5" spans="2:9" x14ac:dyDescent="0.3">
      <c r="B5" s="7" t="s">
        <v>6</v>
      </c>
      <c r="C5" s="4">
        <v>4</v>
      </c>
      <c r="D5" s="9">
        <v>49.99</v>
      </c>
      <c r="E5" s="8">
        <f>D5*4</f>
        <v>199.96</v>
      </c>
      <c r="F5" s="20" t="s">
        <v>5</v>
      </c>
    </row>
    <row r="6" spans="2:9" x14ac:dyDescent="0.3">
      <c r="E6" s="12">
        <f>SUM(E4:E5)</f>
        <v>379.93</v>
      </c>
    </row>
    <row r="8" spans="2:9" x14ac:dyDescent="0.3">
      <c r="B8" s="6" t="s">
        <v>7</v>
      </c>
      <c r="C8" s="6" t="s">
        <v>1</v>
      </c>
      <c r="D8" s="6" t="s">
        <v>2</v>
      </c>
      <c r="E8" s="6" t="s">
        <v>3</v>
      </c>
    </row>
    <row r="9" spans="2:9" x14ac:dyDescent="0.3">
      <c r="B9" s="7" t="s">
        <v>8</v>
      </c>
      <c r="C9" s="4">
        <v>8</v>
      </c>
      <c r="D9" s="9">
        <v>48.56</v>
      </c>
      <c r="E9" s="12">
        <f>C9*D9</f>
        <v>388.48</v>
      </c>
      <c r="F9" s="20" t="s">
        <v>9</v>
      </c>
    </row>
    <row r="10" spans="2:9" x14ac:dyDescent="0.3">
      <c r="B10" s="7" t="s">
        <v>8</v>
      </c>
      <c r="C10" s="3">
        <v>1</v>
      </c>
      <c r="D10" s="10">
        <v>44.85</v>
      </c>
      <c r="E10" s="52">
        <v>63.95</v>
      </c>
      <c r="F10" s="53" t="s">
        <v>10</v>
      </c>
    </row>
    <row r="11" spans="2:9" x14ac:dyDescent="0.3">
      <c r="D11" s="10"/>
      <c r="E11" s="11"/>
    </row>
    <row r="12" spans="2:9" x14ac:dyDescent="0.3">
      <c r="B12" s="6" t="s">
        <v>11</v>
      </c>
      <c r="C12" s="6" t="s">
        <v>1</v>
      </c>
      <c r="D12" s="6" t="s">
        <v>2</v>
      </c>
      <c r="E12" s="6" t="s">
        <v>3</v>
      </c>
    </row>
    <row r="13" spans="2:9" x14ac:dyDescent="0.3">
      <c r="B13" s="7" t="s">
        <v>12</v>
      </c>
      <c r="C13" s="4">
        <v>2</v>
      </c>
      <c r="D13" s="9">
        <v>29.95</v>
      </c>
      <c r="E13" s="12">
        <f>D13*2</f>
        <v>59.9</v>
      </c>
      <c r="F13" s="28" t="s">
        <v>13</v>
      </c>
    </row>
    <row r="16" spans="2:9" x14ac:dyDescent="0.3">
      <c r="B16" s="6" t="s">
        <v>14</v>
      </c>
      <c r="C16" s="6" t="s">
        <v>1</v>
      </c>
      <c r="D16" s="6" t="s">
        <v>2</v>
      </c>
      <c r="E16" s="6" t="s">
        <v>3</v>
      </c>
    </row>
    <row r="17" spans="2:6" x14ac:dyDescent="0.3">
      <c r="B17" s="7" t="s">
        <v>15</v>
      </c>
      <c r="C17" s="4">
        <v>2</v>
      </c>
      <c r="D17" s="9">
        <v>7.99</v>
      </c>
      <c r="E17" s="9">
        <f>D17*2</f>
        <v>15.98</v>
      </c>
      <c r="F17" s="21" t="s">
        <v>16</v>
      </c>
    </row>
    <row r="18" spans="2:6" x14ac:dyDescent="0.3">
      <c r="B18" s="7" t="s">
        <v>17</v>
      </c>
      <c r="C18" s="4">
        <v>2</v>
      </c>
      <c r="D18" s="9">
        <v>12.99</v>
      </c>
      <c r="E18" s="9">
        <f>D18*2</f>
        <v>25.98</v>
      </c>
      <c r="F18" s="28" t="s">
        <v>18</v>
      </c>
    </row>
    <row r="19" spans="2:6" x14ac:dyDescent="0.3">
      <c r="B19" s="7" t="s">
        <v>19</v>
      </c>
      <c r="C19" s="4">
        <v>2</v>
      </c>
      <c r="D19" s="9">
        <v>12.99</v>
      </c>
      <c r="E19" s="9">
        <f>D19*2</f>
        <v>25.98</v>
      </c>
      <c r="F19" s="28" t="s">
        <v>20</v>
      </c>
    </row>
    <row r="20" spans="2:6" x14ac:dyDescent="0.3">
      <c r="B20" s="7" t="s">
        <v>21</v>
      </c>
      <c r="C20" s="4">
        <v>2</v>
      </c>
      <c r="D20" s="9">
        <v>12.99</v>
      </c>
      <c r="E20" s="9">
        <f>D20*2</f>
        <v>25.98</v>
      </c>
      <c r="F20" s="28" t="s">
        <v>22</v>
      </c>
    </row>
    <row r="21" spans="2:6" x14ac:dyDescent="0.3">
      <c r="D21" s="13"/>
      <c r="E21" s="12">
        <f>SUM(E17:E20)</f>
        <v>93.92</v>
      </c>
    </row>
    <row r="23" spans="2:6" x14ac:dyDescent="0.3">
      <c r="B23" s="6" t="s">
        <v>23</v>
      </c>
      <c r="C23" s="6" t="s">
        <v>1</v>
      </c>
      <c r="D23" s="6" t="s">
        <v>2</v>
      </c>
      <c r="E23" s="6" t="s">
        <v>3</v>
      </c>
    </row>
    <row r="24" spans="2:6" x14ac:dyDescent="0.3">
      <c r="B24" s="7" t="s">
        <v>24</v>
      </c>
      <c r="C24" s="4">
        <v>2</v>
      </c>
      <c r="D24" s="9">
        <v>6.99</v>
      </c>
      <c r="E24" s="9">
        <f>C24*D24</f>
        <v>13.98</v>
      </c>
      <c r="F24" s="28" t="s">
        <v>25</v>
      </c>
    </row>
    <row r="25" spans="2:6" x14ac:dyDescent="0.3">
      <c r="B25" s="7" t="s">
        <v>26</v>
      </c>
      <c r="C25" s="4">
        <v>2</v>
      </c>
      <c r="D25" s="9">
        <v>6.99</v>
      </c>
      <c r="E25" s="9">
        <f>C25*D25</f>
        <v>13.98</v>
      </c>
      <c r="F25" s="28" t="s">
        <v>27</v>
      </c>
    </row>
    <row r="26" spans="2:6" x14ac:dyDescent="0.3">
      <c r="B26" s="7" t="s">
        <v>28</v>
      </c>
      <c r="C26" s="4">
        <v>4</v>
      </c>
      <c r="D26" s="9">
        <v>6.99</v>
      </c>
      <c r="E26" s="9">
        <f>C26*D26</f>
        <v>27.96</v>
      </c>
      <c r="F26" s="28" t="s">
        <v>29</v>
      </c>
    </row>
    <row r="27" spans="2:6" x14ac:dyDescent="0.3">
      <c r="D27" s="13"/>
      <c r="E27" s="12">
        <f>SUM(E24:E26)</f>
        <v>55.92</v>
      </c>
    </row>
    <row r="29" spans="2:6" x14ac:dyDescent="0.3">
      <c r="B29" s="6" t="s">
        <v>30</v>
      </c>
      <c r="C29" s="6" t="s">
        <v>1</v>
      </c>
      <c r="D29" s="6" t="s">
        <v>2</v>
      </c>
      <c r="E29" s="6" t="s">
        <v>3</v>
      </c>
    </row>
    <row r="30" spans="2:6" x14ac:dyDescent="0.3">
      <c r="B30" s="7" t="s">
        <v>31</v>
      </c>
      <c r="C30" s="4">
        <v>8</v>
      </c>
      <c r="D30" s="9">
        <v>5.17</v>
      </c>
      <c r="E30" s="9">
        <f>C30*D30</f>
        <v>41.36</v>
      </c>
      <c r="F30" s="19" t="s">
        <v>32</v>
      </c>
    </row>
    <row r="31" spans="2:6" x14ac:dyDescent="0.3">
      <c r="B31" s="7" t="s">
        <v>33</v>
      </c>
      <c r="C31" s="4">
        <v>12</v>
      </c>
      <c r="D31" s="9">
        <v>4.17</v>
      </c>
      <c r="E31" s="9">
        <f>D31*12</f>
        <v>50.04</v>
      </c>
      <c r="F31" s="19" t="s">
        <v>32</v>
      </c>
    </row>
    <row r="32" spans="2:6" x14ac:dyDescent="0.3">
      <c r="B32" s="16" t="s">
        <v>34</v>
      </c>
      <c r="C32" s="4">
        <v>1</v>
      </c>
      <c r="D32" s="9">
        <v>21.27</v>
      </c>
      <c r="E32" s="9">
        <f t="shared" ref="E32:E55" si="0">C32*D32</f>
        <v>21.27</v>
      </c>
      <c r="F32" s="28" t="s">
        <v>35</v>
      </c>
    </row>
    <row r="33" spans="2:7" x14ac:dyDescent="0.3">
      <c r="B33" s="16" t="s">
        <v>36</v>
      </c>
      <c r="C33" s="4">
        <v>1</v>
      </c>
      <c r="D33" s="9">
        <v>12.39</v>
      </c>
      <c r="E33" s="9">
        <f t="shared" si="0"/>
        <v>12.39</v>
      </c>
      <c r="F33" s="28" t="s">
        <v>37</v>
      </c>
    </row>
    <row r="34" spans="2:7" x14ac:dyDescent="0.3">
      <c r="B34" s="16" t="s">
        <v>38</v>
      </c>
      <c r="C34" s="4">
        <v>2</v>
      </c>
      <c r="D34" s="9">
        <v>8.4600000000000009</v>
      </c>
      <c r="E34" s="9">
        <f t="shared" si="0"/>
        <v>16.920000000000002</v>
      </c>
      <c r="F34" s="19" t="s">
        <v>39</v>
      </c>
    </row>
    <row r="35" spans="2:7" x14ac:dyDescent="0.3">
      <c r="B35" s="16" t="s">
        <v>40</v>
      </c>
      <c r="C35" s="4">
        <v>5</v>
      </c>
      <c r="D35" s="9">
        <v>20.65</v>
      </c>
      <c r="E35" s="9">
        <f t="shared" si="0"/>
        <v>103.25</v>
      </c>
      <c r="F35" s="28" t="s">
        <v>41</v>
      </c>
      <c r="G35" t="s">
        <v>42</v>
      </c>
    </row>
    <row r="36" spans="2:7" x14ac:dyDescent="0.3">
      <c r="B36" s="16" t="s">
        <v>43</v>
      </c>
      <c r="C36" s="4">
        <v>3</v>
      </c>
      <c r="D36" s="9">
        <v>24.79</v>
      </c>
      <c r="E36" s="9">
        <f t="shared" si="0"/>
        <v>74.37</v>
      </c>
      <c r="F36" s="28" t="s">
        <v>44</v>
      </c>
      <c r="G36" t="s">
        <v>45</v>
      </c>
    </row>
    <row r="37" spans="2:7" x14ac:dyDescent="0.3">
      <c r="B37" s="16" t="s">
        <v>46</v>
      </c>
      <c r="C37" s="4">
        <v>1</v>
      </c>
      <c r="D37" s="9">
        <v>21.48</v>
      </c>
      <c r="E37" s="9">
        <f t="shared" si="0"/>
        <v>21.48</v>
      </c>
      <c r="F37" s="28" t="s">
        <v>47</v>
      </c>
    </row>
    <row r="38" spans="2:7" x14ac:dyDescent="0.3">
      <c r="B38" s="16" t="s">
        <v>48</v>
      </c>
      <c r="C38" s="4">
        <v>1</v>
      </c>
      <c r="D38" s="9">
        <v>3.26</v>
      </c>
      <c r="E38" s="9">
        <f t="shared" si="0"/>
        <v>3.26</v>
      </c>
      <c r="F38" s="19" t="s">
        <v>49</v>
      </c>
    </row>
    <row r="39" spans="2:7" x14ac:dyDescent="0.3">
      <c r="B39" s="16" t="s">
        <v>50</v>
      </c>
      <c r="C39" s="4">
        <v>1</v>
      </c>
      <c r="D39" s="9">
        <v>21.48</v>
      </c>
      <c r="E39" s="9">
        <f t="shared" si="0"/>
        <v>21.48</v>
      </c>
      <c r="F39" s="19" t="s">
        <v>51</v>
      </c>
    </row>
    <row r="40" spans="2:7" x14ac:dyDescent="0.3">
      <c r="B40" s="16" t="s">
        <v>52</v>
      </c>
      <c r="C40" s="4">
        <v>8</v>
      </c>
      <c r="D40" s="9">
        <f>29.1/2</f>
        <v>14.55</v>
      </c>
      <c r="E40" s="9">
        <f t="shared" si="0"/>
        <v>116.4</v>
      </c>
      <c r="F40" s="19" t="s">
        <v>53</v>
      </c>
      <c r="G40" t="s">
        <v>54</v>
      </c>
    </row>
    <row r="41" spans="2:7" x14ac:dyDescent="0.3">
      <c r="B41" s="16" t="s">
        <v>55</v>
      </c>
      <c r="C41" s="4">
        <v>5</v>
      </c>
      <c r="D41" s="9">
        <v>17.350000000000001</v>
      </c>
      <c r="E41" s="9">
        <f t="shared" si="0"/>
        <v>86.75</v>
      </c>
      <c r="F41" s="19" t="s">
        <v>56</v>
      </c>
    </row>
    <row r="42" spans="2:7" x14ac:dyDescent="0.3">
      <c r="B42" s="16" t="s">
        <v>57</v>
      </c>
      <c r="C42" s="4">
        <v>1</v>
      </c>
      <c r="D42" s="9">
        <v>16.989999999999998</v>
      </c>
      <c r="E42" s="9">
        <f t="shared" si="0"/>
        <v>16.989999999999998</v>
      </c>
      <c r="F42" s="28" t="s">
        <v>58</v>
      </c>
    </row>
    <row r="43" spans="2:7" x14ac:dyDescent="0.3">
      <c r="B43" s="16" t="s">
        <v>59</v>
      </c>
      <c r="C43" s="4">
        <v>1</v>
      </c>
      <c r="D43" s="9">
        <v>12.41</v>
      </c>
      <c r="E43" s="32">
        <f t="shared" si="0"/>
        <v>12.41</v>
      </c>
      <c r="F43" s="19" t="s">
        <v>60</v>
      </c>
    </row>
    <row r="44" spans="2:7" x14ac:dyDescent="0.3">
      <c r="B44" s="7" t="s">
        <v>61</v>
      </c>
      <c r="C44" s="4">
        <v>1</v>
      </c>
      <c r="D44" s="9">
        <v>25.61</v>
      </c>
      <c r="E44" s="9">
        <f t="shared" si="0"/>
        <v>25.61</v>
      </c>
      <c r="F44" s="29" t="s">
        <v>62</v>
      </c>
    </row>
    <row r="45" spans="2:7" x14ac:dyDescent="0.3">
      <c r="B45" s="7" t="s">
        <v>63</v>
      </c>
      <c r="C45" s="4">
        <v>1</v>
      </c>
      <c r="D45" s="9">
        <v>29.9</v>
      </c>
      <c r="E45" s="9">
        <f t="shared" si="0"/>
        <v>29.9</v>
      </c>
      <c r="F45" s="26" t="s">
        <v>64</v>
      </c>
    </row>
    <row r="46" spans="2:7" x14ac:dyDescent="0.3">
      <c r="B46" s="7" t="s">
        <v>65</v>
      </c>
      <c r="C46" s="4">
        <v>1</v>
      </c>
      <c r="D46" s="9">
        <v>15.39</v>
      </c>
      <c r="E46" s="9">
        <f t="shared" si="0"/>
        <v>15.39</v>
      </c>
      <c r="F46" s="29" t="s">
        <v>66</v>
      </c>
    </row>
    <row r="47" spans="2:7" x14ac:dyDescent="0.3">
      <c r="B47" s="7" t="s">
        <v>67</v>
      </c>
      <c r="C47" s="4">
        <v>1</v>
      </c>
      <c r="D47" s="9">
        <v>11.56</v>
      </c>
      <c r="E47" s="9">
        <f t="shared" si="0"/>
        <v>11.56</v>
      </c>
      <c r="F47" s="41" t="s">
        <v>68</v>
      </c>
    </row>
    <row r="48" spans="2:7" x14ac:dyDescent="0.3">
      <c r="B48" s="7" t="s">
        <v>69</v>
      </c>
      <c r="C48" s="4">
        <v>1</v>
      </c>
      <c r="D48" s="9">
        <v>52.81</v>
      </c>
      <c r="E48" s="9">
        <f t="shared" si="0"/>
        <v>52.81</v>
      </c>
      <c r="F48" s="41" t="s">
        <v>70</v>
      </c>
    </row>
    <row r="49" spans="2:6" x14ac:dyDescent="0.3">
      <c r="B49" s="7" t="s">
        <v>71</v>
      </c>
      <c r="C49" s="4">
        <v>1</v>
      </c>
      <c r="D49" s="9">
        <v>52.81</v>
      </c>
      <c r="E49" s="9">
        <f t="shared" si="0"/>
        <v>52.81</v>
      </c>
      <c r="F49" s="41" t="s">
        <v>72</v>
      </c>
    </row>
    <row r="50" spans="2:6" x14ac:dyDescent="0.3">
      <c r="B50" s="7" t="s">
        <v>73</v>
      </c>
      <c r="C50" s="4">
        <v>1</v>
      </c>
      <c r="D50" s="9">
        <v>14.04</v>
      </c>
      <c r="E50" s="9">
        <f t="shared" si="0"/>
        <v>14.04</v>
      </c>
      <c r="F50" s="19" t="s">
        <v>74</v>
      </c>
    </row>
    <row r="51" spans="2:6" x14ac:dyDescent="0.3">
      <c r="B51" s="16" t="s">
        <v>75</v>
      </c>
      <c r="C51" s="4">
        <v>1</v>
      </c>
      <c r="D51" s="9">
        <v>17.420000000000002</v>
      </c>
      <c r="E51" s="9">
        <f t="shared" si="0"/>
        <v>17.420000000000002</v>
      </c>
      <c r="F51" s="19" t="s">
        <v>76</v>
      </c>
    </row>
    <row r="52" spans="2:6" x14ac:dyDescent="0.3">
      <c r="B52" s="16" t="s">
        <v>77</v>
      </c>
      <c r="C52" s="4">
        <v>1</v>
      </c>
      <c r="D52" s="9">
        <v>7.84</v>
      </c>
      <c r="E52" s="9">
        <f t="shared" si="0"/>
        <v>7.84</v>
      </c>
      <c r="F52" s="19" t="s">
        <v>78</v>
      </c>
    </row>
    <row r="53" spans="2:6" x14ac:dyDescent="0.3">
      <c r="B53" s="50" t="s">
        <v>79</v>
      </c>
      <c r="C53" s="31">
        <v>1</v>
      </c>
      <c r="D53" s="9">
        <v>8.2200000000000006</v>
      </c>
      <c r="E53" s="9">
        <f t="shared" si="0"/>
        <v>8.2200000000000006</v>
      </c>
      <c r="F53" s="19" t="s">
        <v>80</v>
      </c>
    </row>
    <row r="54" spans="2:6" x14ac:dyDescent="0.3">
      <c r="B54" s="16" t="s">
        <v>81</v>
      </c>
      <c r="C54" s="4">
        <v>2</v>
      </c>
      <c r="D54" s="9">
        <v>38.020000000000003</v>
      </c>
      <c r="E54" s="9">
        <f t="shared" si="0"/>
        <v>76.040000000000006</v>
      </c>
      <c r="F54" s="26" t="s">
        <v>82</v>
      </c>
    </row>
    <row r="55" spans="2:6" x14ac:dyDescent="0.3">
      <c r="B55" s="16" t="s">
        <v>83</v>
      </c>
      <c r="C55" s="4">
        <v>1</v>
      </c>
      <c r="D55" s="9">
        <v>51.17</v>
      </c>
      <c r="E55" s="9">
        <f t="shared" si="0"/>
        <v>51.17</v>
      </c>
      <c r="F55" s="26" t="s">
        <v>84</v>
      </c>
    </row>
    <row r="56" spans="2:6" x14ac:dyDescent="0.3">
      <c r="B56" s="50" t="s">
        <v>85</v>
      </c>
      <c r="C56" s="31">
        <v>1</v>
      </c>
      <c r="D56" s="9">
        <v>51.17</v>
      </c>
      <c r="E56" s="9">
        <f t="shared" ref="E56:E69" si="1">C56*D56</f>
        <v>51.17</v>
      </c>
      <c r="F56" s="41" t="s">
        <v>86</v>
      </c>
    </row>
    <row r="57" spans="2:6" x14ac:dyDescent="0.3">
      <c r="B57" s="16" t="s">
        <v>87</v>
      </c>
      <c r="C57" s="4">
        <v>1</v>
      </c>
      <c r="D57" s="9">
        <v>49.16</v>
      </c>
      <c r="E57" s="9">
        <f t="shared" si="1"/>
        <v>49.16</v>
      </c>
      <c r="F57" s="29" t="s">
        <v>88</v>
      </c>
    </row>
    <row r="58" spans="2:6" x14ac:dyDescent="0.3">
      <c r="B58" s="16" t="s">
        <v>89</v>
      </c>
      <c r="C58" s="4">
        <v>1</v>
      </c>
      <c r="D58" s="9">
        <v>10.99</v>
      </c>
      <c r="E58" s="9">
        <f t="shared" si="1"/>
        <v>10.99</v>
      </c>
      <c r="F58" s="29" t="s">
        <v>90</v>
      </c>
    </row>
    <row r="59" spans="2:6" x14ac:dyDescent="0.3">
      <c r="B59" s="16" t="s">
        <v>91</v>
      </c>
      <c r="C59" s="4">
        <v>1</v>
      </c>
      <c r="D59" s="9">
        <v>22.92</v>
      </c>
      <c r="E59" s="9">
        <f t="shared" si="1"/>
        <v>22.92</v>
      </c>
      <c r="F59" s="29" t="s">
        <v>92</v>
      </c>
    </row>
    <row r="60" spans="2:6" x14ac:dyDescent="0.3">
      <c r="B60" s="16" t="s">
        <v>93</v>
      </c>
      <c r="C60" s="4">
        <v>1</v>
      </c>
      <c r="D60" s="9">
        <v>14.83</v>
      </c>
      <c r="E60" s="9">
        <f t="shared" si="1"/>
        <v>14.83</v>
      </c>
      <c r="F60" s="29" t="s">
        <v>92</v>
      </c>
    </row>
    <row r="61" spans="2:6" x14ac:dyDescent="0.3">
      <c r="B61" s="16" t="s">
        <v>94</v>
      </c>
      <c r="C61" s="4">
        <v>1</v>
      </c>
      <c r="D61" s="9">
        <v>37.15</v>
      </c>
      <c r="E61" s="9">
        <f t="shared" si="1"/>
        <v>37.15</v>
      </c>
      <c r="F61" s="29" t="s">
        <v>95</v>
      </c>
    </row>
    <row r="62" spans="2:6" x14ac:dyDescent="0.3">
      <c r="B62" s="16" t="s">
        <v>96</v>
      </c>
      <c r="C62" s="4">
        <v>1</v>
      </c>
      <c r="D62" s="10">
        <v>69.95</v>
      </c>
      <c r="E62" s="9">
        <f t="shared" si="1"/>
        <v>69.95</v>
      </c>
      <c r="F62" s="41" t="s">
        <v>97</v>
      </c>
    </row>
    <row r="63" spans="2:6" x14ac:dyDescent="0.3">
      <c r="B63" s="16" t="s">
        <v>98</v>
      </c>
      <c r="C63" s="4">
        <v>2</v>
      </c>
      <c r="D63" s="9">
        <v>29.95</v>
      </c>
      <c r="E63" s="9">
        <f t="shared" si="1"/>
        <v>59.9</v>
      </c>
      <c r="F63" s="41" t="s">
        <v>99</v>
      </c>
    </row>
    <row r="64" spans="2:6" x14ac:dyDescent="0.3">
      <c r="B64" s="16" t="s">
        <v>100</v>
      </c>
      <c r="C64" s="4">
        <v>1</v>
      </c>
      <c r="D64" s="9">
        <v>16.989999999999998</v>
      </c>
      <c r="E64" s="10">
        <f t="shared" si="1"/>
        <v>16.989999999999998</v>
      </c>
      <c r="F64" s="41" t="s">
        <v>101</v>
      </c>
    </row>
    <row r="65" spans="2:6" x14ac:dyDescent="0.3">
      <c r="B65" s="16" t="s">
        <v>102</v>
      </c>
      <c r="C65" s="4">
        <v>1</v>
      </c>
      <c r="D65" s="9">
        <v>16.52</v>
      </c>
      <c r="E65" s="10">
        <f t="shared" si="1"/>
        <v>16.52</v>
      </c>
      <c r="F65" s="41" t="s">
        <v>103</v>
      </c>
    </row>
    <row r="66" spans="2:6" x14ac:dyDescent="0.3">
      <c r="B66" s="16" t="s">
        <v>104</v>
      </c>
      <c r="C66" s="4">
        <v>1</v>
      </c>
      <c r="D66" s="9">
        <v>10.99</v>
      </c>
      <c r="E66" s="10">
        <f t="shared" si="1"/>
        <v>10.99</v>
      </c>
      <c r="F66" s="41" t="s">
        <v>105</v>
      </c>
    </row>
    <row r="67" spans="2:6" x14ac:dyDescent="0.3">
      <c r="B67" s="16" t="s">
        <v>106</v>
      </c>
      <c r="C67" s="4">
        <v>1</v>
      </c>
      <c r="D67" s="9">
        <v>32.869999999999997</v>
      </c>
      <c r="E67" s="9">
        <f t="shared" si="1"/>
        <v>32.869999999999997</v>
      </c>
      <c r="F67" s="41" t="s">
        <v>107</v>
      </c>
    </row>
    <row r="68" spans="2:6" x14ac:dyDescent="0.3">
      <c r="B68" s="16" t="s">
        <v>108</v>
      </c>
      <c r="C68" s="4">
        <v>1</v>
      </c>
      <c r="D68" s="9">
        <v>26.44</v>
      </c>
      <c r="E68" s="9">
        <f t="shared" si="1"/>
        <v>26.44</v>
      </c>
      <c r="F68" s="41" t="s">
        <v>109</v>
      </c>
    </row>
    <row r="69" spans="2:6" x14ac:dyDescent="0.3">
      <c r="B69" s="16" t="s">
        <v>110</v>
      </c>
      <c r="C69" s="4">
        <v>1</v>
      </c>
      <c r="D69" s="9">
        <v>21.99</v>
      </c>
      <c r="E69" s="9">
        <f t="shared" si="1"/>
        <v>21.99</v>
      </c>
      <c r="F69" s="41" t="s">
        <v>111</v>
      </c>
    </row>
    <row r="70" spans="2:6" x14ac:dyDescent="0.3">
      <c r="B70" s="16" t="s">
        <v>112</v>
      </c>
      <c r="C70" s="4">
        <v>1</v>
      </c>
      <c r="D70" s="9">
        <v>24.1</v>
      </c>
      <c r="E70" s="9">
        <v>24.1</v>
      </c>
      <c r="F70" s="41" t="s">
        <v>113</v>
      </c>
    </row>
    <row r="71" spans="2:6" x14ac:dyDescent="0.3">
      <c r="B71" s="16" t="s">
        <v>114</v>
      </c>
      <c r="C71" s="4">
        <v>1</v>
      </c>
      <c r="D71" s="9">
        <v>42.93</v>
      </c>
      <c r="E71" s="9">
        <v>42.93</v>
      </c>
      <c r="F71" s="41" t="s">
        <v>115</v>
      </c>
    </row>
    <row r="72" spans="2:6" x14ac:dyDescent="0.3">
      <c r="B72" s="16" t="s">
        <v>116</v>
      </c>
      <c r="C72" s="4">
        <v>4</v>
      </c>
      <c r="D72" s="9">
        <v>54.85</v>
      </c>
      <c r="E72" s="9">
        <f t="shared" ref="E72:E106" si="2">C72*D72</f>
        <v>219.4</v>
      </c>
      <c r="F72" s="41" t="s">
        <v>117</v>
      </c>
    </row>
    <row r="73" spans="2:6" x14ac:dyDescent="0.3">
      <c r="B73" s="16" t="s">
        <v>118</v>
      </c>
      <c r="C73" s="4">
        <v>1</v>
      </c>
      <c r="D73" s="9">
        <v>104.49</v>
      </c>
      <c r="E73" s="9">
        <f t="shared" si="2"/>
        <v>104.49</v>
      </c>
      <c r="F73" s="41" t="s">
        <v>119</v>
      </c>
    </row>
    <row r="74" spans="2:6" x14ac:dyDescent="0.3">
      <c r="B74" s="16" t="s">
        <v>120</v>
      </c>
      <c r="C74" s="4">
        <v>1</v>
      </c>
      <c r="D74" s="9">
        <v>32.9</v>
      </c>
      <c r="E74" s="9">
        <f t="shared" si="2"/>
        <v>32.9</v>
      </c>
      <c r="F74" s="41" t="s">
        <v>121</v>
      </c>
    </row>
    <row r="75" spans="2:6" x14ac:dyDescent="0.3">
      <c r="B75" s="16" t="s">
        <v>122</v>
      </c>
      <c r="C75" s="4">
        <v>3</v>
      </c>
      <c r="D75" s="9">
        <v>12.02</v>
      </c>
      <c r="E75" s="9">
        <f t="shared" si="2"/>
        <v>36.06</v>
      </c>
      <c r="F75" s="41" t="s">
        <v>123</v>
      </c>
    </row>
    <row r="76" spans="2:6" x14ac:dyDescent="0.3">
      <c r="B76" s="16" t="s">
        <v>124</v>
      </c>
      <c r="C76" s="4">
        <v>2</v>
      </c>
      <c r="D76" s="9">
        <v>29.49</v>
      </c>
      <c r="E76" s="9">
        <f t="shared" si="2"/>
        <v>58.98</v>
      </c>
      <c r="F76" s="41" t="s">
        <v>125</v>
      </c>
    </row>
    <row r="77" spans="2:6" x14ac:dyDescent="0.3">
      <c r="B77" s="16" t="s">
        <v>126</v>
      </c>
      <c r="C77" s="4">
        <v>1</v>
      </c>
      <c r="D77" s="9">
        <v>26.99</v>
      </c>
      <c r="E77" s="9">
        <f t="shared" si="2"/>
        <v>26.99</v>
      </c>
      <c r="F77" s="41" t="s">
        <v>127</v>
      </c>
    </row>
    <row r="78" spans="2:6" x14ac:dyDescent="0.3">
      <c r="B78" s="16" t="s">
        <v>128</v>
      </c>
      <c r="C78" s="4">
        <v>1</v>
      </c>
      <c r="D78" s="9">
        <v>28.99</v>
      </c>
      <c r="E78" s="9">
        <f t="shared" si="2"/>
        <v>28.99</v>
      </c>
      <c r="F78" s="41" t="s">
        <v>129</v>
      </c>
    </row>
    <row r="79" spans="2:6" x14ac:dyDescent="0.3">
      <c r="B79" s="16" t="s">
        <v>130</v>
      </c>
      <c r="C79" s="4">
        <v>1</v>
      </c>
      <c r="D79" s="9">
        <v>8.7799999999999994</v>
      </c>
      <c r="E79" s="9">
        <f t="shared" si="2"/>
        <v>8.7799999999999994</v>
      </c>
      <c r="F79" s="41" t="s">
        <v>131</v>
      </c>
    </row>
    <row r="80" spans="2:6" x14ac:dyDescent="0.3">
      <c r="B80" s="16" t="s">
        <v>132</v>
      </c>
      <c r="C80" s="4">
        <v>1</v>
      </c>
      <c r="D80" s="9">
        <v>8.49</v>
      </c>
      <c r="E80" s="9">
        <f t="shared" si="2"/>
        <v>8.49</v>
      </c>
      <c r="F80" s="41" t="s">
        <v>133</v>
      </c>
    </row>
    <row r="81" spans="2:6" x14ac:dyDescent="0.3">
      <c r="B81" s="16" t="s">
        <v>134</v>
      </c>
      <c r="C81" s="4">
        <v>1</v>
      </c>
      <c r="D81" s="9">
        <v>21.99</v>
      </c>
      <c r="E81" s="9">
        <f t="shared" si="2"/>
        <v>21.99</v>
      </c>
      <c r="F81" s="41" t="s">
        <v>135</v>
      </c>
    </row>
    <row r="82" spans="2:6" x14ac:dyDescent="0.3">
      <c r="B82" s="16" t="s">
        <v>136</v>
      </c>
      <c r="C82" s="4">
        <v>1</v>
      </c>
      <c r="D82" s="9">
        <v>18.989999999999998</v>
      </c>
      <c r="E82" s="9">
        <f t="shared" si="2"/>
        <v>18.989999999999998</v>
      </c>
      <c r="F82" s="41" t="s">
        <v>137</v>
      </c>
    </row>
    <row r="83" spans="2:6" x14ac:dyDescent="0.3">
      <c r="B83" s="16" t="s">
        <v>138</v>
      </c>
      <c r="C83" s="51">
        <v>1</v>
      </c>
      <c r="D83" s="9">
        <v>41.99</v>
      </c>
      <c r="E83" s="9">
        <f t="shared" si="2"/>
        <v>41.99</v>
      </c>
      <c r="F83" s="41" t="s">
        <v>139</v>
      </c>
    </row>
    <row r="84" spans="2:6" x14ac:dyDescent="0.3">
      <c r="B84" s="16" t="s">
        <v>140</v>
      </c>
      <c r="C84" s="51">
        <v>1</v>
      </c>
      <c r="D84" s="9">
        <v>40.659999999999997</v>
      </c>
      <c r="E84" s="9">
        <f t="shared" si="2"/>
        <v>40.659999999999997</v>
      </c>
      <c r="F84" s="41" t="s">
        <v>141</v>
      </c>
    </row>
    <row r="85" spans="2:6" x14ac:dyDescent="0.3">
      <c r="B85" s="16" t="s">
        <v>142</v>
      </c>
      <c r="C85" s="51">
        <v>1</v>
      </c>
      <c r="D85" s="9">
        <v>13.69</v>
      </c>
      <c r="E85" s="9">
        <f t="shared" si="2"/>
        <v>13.69</v>
      </c>
      <c r="F85" s="41" t="s">
        <v>143</v>
      </c>
    </row>
    <row r="86" spans="2:6" x14ac:dyDescent="0.3">
      <c r="B86" s="16" t="s">
        <v>144</v>
      </c>
      <c r="C86" s="51">
        <v>1</v>
      </c>
      <c r="D86" s="9">
        <v>9.91</v>
      </c>
      <c r="E86" s="9">
        <f t="shared" si="2"/>
        <v>9.91</v>
      </c>
      <c r="F86" s="41" t="s">
        <v>145</v>
      </c>
    </row>
    <row r="87" spans="2:6" x14ac:dyDescent="0.3">
      <c r="B87" s="16" t="s">
        <v>146</v>
      </c>
      <c r="C87" s="4">
        <v>1</v>
      </c>
      <c r="D87" s="9">
        <v>18.989999999999998</v>
      </c>
      <c r="E87" s="10">
        <f t="shared" si="2"/>
        <v>18.989999999999998</v>
      </c>
      <c r="F87" s="41" t="s">
        <v>147</v>
      </c>
    </row>
    <row r="88" spans="2:6" x14ac:dyDescent="0.3">
      <c r="B88" s="16" t="s">
        <v>148</v>
      </c>
      <c r="C88" s="4">
        <v>1</v>
      </c>
      <c r="D88" s="9">
        <v>37.18</v>
      </c>
      <c r="E88" s="10">
        <f t="shared" si="2"/>
        <v>37.18</v>
      </c>
      <c r="F88" s="41" t="s">
        <v>149</v>
      </c>
    </row>
    <row r="89" spans="2:6" x14ac:dyDescent="0.3">
      <c r="B89" s="16" t="s">
        <v>150</v>
      </c>
      <c r="C89" s="4">
        <v>1</v>
      </c>
      <c r="D89" s="9">
        <v>28.99</v>
      </c>
      <c r="E89" s="10">
        <f t="shared" si="2"/>
        <v>28.99</v>
      </c>
      <c r="F89" s="41" t="s">
        <v>151</v>
      </c>
    </row>
    <row r="90" spans="2:6" x14ac:dyDescent="0.3">
      <c r="B90" s="16" t="s">
        <v>152</v>
      </c>
      <c r="C90" s="4">
        <v>1</v>
      </c>
      <c r="D90" s="9">
        <v>13.99</v>
      </c>
      <c r="E90" s="10">
        <f t="shared" si="2"/>
        <v>13.99</v>
      </c>
      <c r="F90" s="41" t="s">
        <v>153</v>
      </c>
    </row>
    <row r="91" spans="2:6" x14ac:dyDescent="0.3">
      <c r="B91" s="16" t="s">
        <v>154</v>
      </c>
      <c r="C91" s="4">
        <v>1</v>
      </c>
      <c r="D91" s="10">
        <v>14.61</v>
      </c>
      <c r="E91" s="10">
        <f t="shared" si="2"/>
        <v>14.61</v>
      </c>
      <c r="F91" s="41" t="s">
        <v>155</v>
      </c>
    </row>
    <row r="92" spans="2:6" x14ac:dyDescent="0.3">
      <c r="B92" s="16" t="s">
        <v>156</v>
      </c>
      <c r="C92" s="4">
        <v>1</v>
      </c>
      <c r="D92" s="10">
        <v>23.99</v>
      </c>
      <c r="E92" s="10">
        <f t="shared" si="2"/>
        <v>23.99</v>
      </c>
      <c r="F92" s="41" t="s">
        <v>157</v>
      </c>
    </row>
    <row r="93" spans="2:6" x14ac:dyDescent="0.3">
      <c r="B93" s="16" t="s">
        <v>158</v>
      </c>
      <c r="C93" s="4">
        <v>1</v>
      </c>
      <c r="D93" s="10">
        <v>48.09</v>
      </c>
      <c r="E93" s="10">
        <f t="shared" si="2"/>
        <v>48.09</v>
      </c>
      <c r="F93" s="41" t="s">
        <v>159</v>
      </c>
    </row>
    <row r="94" spans="2:6" x14ac:dyDescent="0.3">
      <c r="B94" s="16" t="s">
        <v>160</v>
      </c>
      <c r="C94" s="4">
        <v>1</v>
      </c>
      <c r="D94" s="9">
        <v>109.95</v>
      </c>
      <c r="E94" s="9">
        <f t="shared" si="2"/>
        <v>109.95</v>
      </c>
      <c r="F94" s="41" t="s">
        <v>161</v>
      </c>
    </row>
    <row r="95" spans="2:6" x14ac:dyDescent="0.3">
      <c r="B95" s="16" t="s">
        <v>162</v>
      </c>
      <c r="C95" s="4">
        <v>2</v>
      </c>
      <c r="D95" s="9">
        <v>68.989999999999995</v>
      </c>
      <c r="E95" s="9">
        <f t="shared" si="2"/>
        <v>137.97999999999999</v>
      </c>
      <c r="F95" s="41" t="s">
        <v>163</v>
      </c>
    </row>
    <row r="96" spans="2:6" x14ac:dyDescent="0.3">
      <c r="B96" s="16" t="s">
        <v>164</v>
      </c>
      <c r="C96" s="4">
        <v>2</v>
      </c>
      <c r="D96" s="9">
        <v>8.0500000000000007</v>
      </c>
      <c r="E96" s="9">
        <f t="shared" si="2"/>
        <v>16.100000000000001</v>
      </c>
      <c r="F96" s="41" t="s">
        <v>165</v>
      </c>
    </row>
    <row r="97" spans="1:6" x14ac:dyDescent="0.3">
      <c r="B97" s="16" t="s">
        <v>166</v>
      </c>
      <c r="C97" s="4">
        <v>1</v>
      </c>
      <c r="D97" s="9">
        <v>11.39</v>
      </c>
      <c r="E97" s="9">
        <f t="shared" si="2"/>
        <v>11.39</v>
      </c>
      <c r="F97" s="41" t="s">
        <v>167</v>
      </c>
    </row>
    <row r="98" spans="1:6" x14ac:dyDescent="0.3">
      <c r="B98" s="16" t="s">
        <v>168</v>
      </c>
      <c r="C98" s="4">
        <v>6</v>
      </c>
      <c r="D98" s="9">
        <v>35.94</v>
      </c>
      <c r="E98" s="10">
        <f t="shared" si="2"/>
        <v>215.64</v>
      </c>
      <c r="F98" s="41" t="s">
        <v>169</v>
      </c>
    </row>
    <row r="99" spans="1:6" x14ac:dyDescent="0.3">
      <c r="B99" s="16" t="s">
        <v>170</v>
      </c>
      <c r="C99" s="4">
        <v>1</v>
      </c>
      <c r="D99" s="9">
        <v>20.99</v>
      </c>
      <c r="E99" s="9">
        <f t="shared" si="2"/>
        <v>20.99</v>
      </c>
      <c r="F99" s="41" t="s">
        <v>171</v>
      </c>
    </row>
    <row r="100" spans="1:6" x14ac:dyDescent="0.3">
      <c r="B100" s="16" t="s">
        <v>172</v>
      </c>
      <c r="C100" s="4">
        <v>1</v>
      </c>
      <c r="D100" s="9">
        <v>17.989999999999998</v>
      </c>
      <c r="E100" s="10">
        <f t="shared" si="2"/>
        <v>17.989999999999998</v>
      </c>
      <c r="F100" s="41" t="s">
        <v>173</v>
      </c>
    </row>
    <row r="101" spans="1:6" x14ac:dyDescent="0.3">
      <c r="B101" s="16" t="s">
        <v>174</v>
      </c>
      <c r="C101" s="4">
        <v>2</v>
      </c>
      <c r="D101" s="9">
        <v>19.989999999999998</v>
      </c>
      <c r="E101" s="10">
        <f t="shared" si="2"/>
        <v>39.979999999999997</v>
      </c>
      <c r="F101" s="41" t="s">
        <v>175</v>
      </c>
    </row>
    <row r="102" spans="1:6" x14ac:dyDescent="0.3">
      <c r="B102" s="16" t="s">
        <v>176</v>
      </c>
      <c r="C102" s="4">
        <v>1</v>
      </c>
      <c r="D102" s="9">
        <v>17.989999999999998</v>
      </c>
      <c r="E102" s="9">
        <f t="shared" si="2"/>
        <v>17.989999999999998</v>
      </c>
      <c r="F102" s="41" t="s">
        <v>177</v>
      </c>
    </row>
    <row r="103" spans="1:6" x14ac:dyDescent="0.3">
      <c r="B103" s="16" t="s">
        <v>178</v>
      </c>
      <c r="C103" s="4">
        <v>4</v>
      </c>
      <c r="D103" s="9">
        <v>28.12</v>
      </c>
      <c r="E103" s="9">
        <f t="shared" si="2"/>
        <v>112.48</v>
      </c>
      <c r="F103" s="41" t="s">
        <v>179</v>
      </c>
    </row>
    <row r="104" spans="1:6" x14ac:dyDescent="0.3">
      <c r="B104" s="16" t="s">
        <v>180</v>
      </c>
      <c r="C104" s="4">
        <v>1</v>
      </c>
      <c r="D104" s="9">
        <v>159</v>
      </c>
      <c r="E104" s="9">
        <f t="shared" si="2"/>
        <v>159</v>
      </c>
      <c r="F104" s="41" t="s">
        <v>181</v>
      </c>
    </row>
    <row r="105" spans="1:6" x14ac:dyDescent="0.3">
      <c r="B105" s="16" t="s">
        <v>182</v>
      </c>
      <c r="C105" s="4">
        <v>1</v>
      </c>
      <c r="D105" s="9">
        <v>100</v>
      </c>
      <c r="E105" s="9">
        <f t="shared" si="2"/>
        <v>100</v>
      </c>
      <c r="F105" s="41" t="s">
        <v>183</v>
      </c>
    </row>
    <row r="106" spans="1:6" x14ac:dyDescent="0.3">
      <c r="B106" s="16" t="s">
        <v>184</v>
      </c>
      <c r="C106" s="4">
        <v>3</v>
      </c>
      <c r="D106" s="9">
        <v>27.95</v>
      </c>
      <c r="E106" s="9">
        <f t="shared" si="2"/>
        <v>83.85</v>
      </c>
      <c r="F106" s="41" t="s">
        <v>185</v>
      </c>
    </row>
    <row r="107" spans="1:6" x14ac:dyDescent="0.3">
      <c r="E107" s="49">
        <f>SUM(E30:E106)</f>
        <v>3371.5699999999979</v>
      </c>
    </row>
    <row r="109" spans="1:6" x14ac:dyDescent="0.3">
      <c r="B109" s="6" t="s">
        <v>186</v>
      </c>
      <c r="C109" s="6" t="s">
        <v>1</v>
      </c>
      <c r="D109" s="6" t="s">
        <v>2</v>
      </c>
      <c r="E109" s="6" t="s">
        <v>3</v>
      </c>
      <c r="F109" s="19" t="s">
        <v>177</v>
      </c>
    </row>
    <row r="110" spans="1:6" s="2" customFormat="1" x14ac:dyDescent="0.3">
      <c r="A110" s="2" t="s">
        <v>187</v>
      </c>
      <c r="B110" s="5" t="s">
        <v>188</v>
      </c>
      <c r="C110" s="4">
        <v>29</v>
      </c>
      <c r="D110" s="9">
        <v>4</v>
      </c>
      <c r="E110" s="9">
        <f t="shared" ref="E110:E225" si="3">C110*D110</f>
        <v>116</v>
      </c>
      <c r="F110" s="22" t="s">
        <v>189</v>
      </c>
    </row>
    <row r="111" spans="1:6" x14ac:dyDescent="0.3">
      <c r="A111" t="s">
        <v>190</v>
      </c>
      <c r="B111" s="7" t="s">
        <v>191</v>
      </c>
      <c r="C111" s="4">
        <v>4</v>
      </c>
      <c r="D111" s="9">
        <v>4.99</v>
      </c>
      <c r="E111" s="9">
        <f t="shared" si="3"/>
        <v>19.96</v>
      </c>
      <c r="F111" s="14" t="s">
        <v>192</v>
      </c>
    </row>
    <row r="112" spans="1:6" x14ac:dyDescent="0.3">
      <c r="A112" t="s">
        <v>193</v>
      </c>
      <c r="B112" s="7" t="s">
        <v>194</v>
      </c>
      <c r="C112" s="4">
        <v>4</v>
      </c>
      <c r="D112" s="9">
        <v>3.99</v>
      </c>
      <c r="E112" s="9">
        <f t="shared" si="3"/>
        <v>15.96</v>
      </c>
      <c r="F112" s="14" t="s">
        <v>195</v>
      </c>
    </row>
    <row r="113" spans="1:8" x14ac:dyDescent="0.3">
      <c r="A113" t="s">
        <v>196</v>
      </c>
      <c r="B113" s="7" t="s">
        <v>197</v>
      </c>
      <c r="C113" s="4">
        <v>3</v>
      </c>
      <c r="D113" s="9">
        <v>9.99</v>
      </c>
      <c r="E113" s="9">
        <f t="shared" si="3"/>
        <v>29.97</v>
      </c>
      <c r="F113" s="14" t="s">
        <v>198</v>
      </c>
    </row>
    <row r="114" spans="1:8" x14ac:dyDescent="0.3">
      <c r="A114" t="s">
        <v>199</v>
      </c>
      <c r="B114" s="7" t="s">
        <v>200</v>
      </c>
      <c r="C114" s="4">
        <v>43</v>
      </c>
      <c r="D114" s="9">
        <v>7.49</v>
      </c>
      <c r="E114" s="9">
        <f t="shared" si="3"/>
        <v>322.07</v>
      </c>
      <c r="F114" s="23" t="s">
        <v>201</v>
      </c>
    </row>
    <row r="115" spans="1:8" x14ac:dyDescent="0.3">
      <c r="A115" t="s">
        <v>202</v>
      </c>
      <c r="B115" s="7" t="s">
        <v>203</v>
      </c>
      <c r="C115" s="4">
        <v>4</v>
      </c>
      <c r="D115" s="9">
        <v>5.99</v>
      </c>
      <c r="E115" s="9">
        <f t="shared" si="3"/>
        <v>23.96</v>
      </c>
      <c r="F115" s="14" t="s">
        <v>204</v>
      </c>
    </row>
    <row r="116" spans="1:8" x14ac:dyDescent="0.3">
      <c r="A116" t="s">
        <v>205</v>
      </c>
      <c r="B116" s="7" t="s">
        <v>206</v>
      </c>
      <c r="C116" s="4">
        <v>3</v>
      </c>
      <c r="D116" s="9">
        <v>9.99</v>
      </c>
      <c r="E116" s="9">
        <f t="shared" si="3"/>
        <v>29.97</v>
      </c>
      <c r="F116" s="14" t="s">
        <v>207</v>
      </c>
    </row>
    <row r="117" spans="1:8" x14ac:dyDescent="0.3">
      <c r="A117" t="s">
        <v>208</v>
      </c>
      <c r="B117" s="17" t="s">
        <v>209</v>
      </c>
      <c r="C117" s="4">
        <v>6</v>
      </c>
      <c r="D117" s="9">
        <v>14.99</v>
      </c>
      <c r="E117" s="9">
        <f t="shared" si="3"/>
        <v>89.94</v>
      </c>
      <c r="F117" s="24" t="s">
        <v>210</v>
      </c>
    </row>
    <row r="118" spans="1:8" x14ac:dyDescent="0.3">
      <c r="A118" t="s">
        <v>211</v>
      </c>
      <c r="B118" s="7" t="s">
        <v>212</v>
      </c>
      <c r="C118" s="4">
        <v>7</v>
      </c>
      <c r="D118" s="9">
        <v>3.99</v>
      </c>
      <c r="E118" s="9">
        <f t="shared" si="3"/>
        <v>27.93</v>
      </c>
      <c r="F118" s="14" t="s">
        <v>213</v>
      </c>
      <c r="H118" s="18"/>
    </row>
    <row r="119" spans="1:8" x14ac:dyDescent="0.3">
      <c r="A119" t="s">
        <v>214</v>
      </c>
      <c r="B119" s="17" t="s">
        <v>209</v>
      </c>
      <c r="C119" s="4">
        <v>4</v>
      </c>
      <c r="D119" s="9">
        <v>19.989999999999998</v>
      </c>
      <c r="E119" s="9">
        <f t="shared" si="3"/>
        <v>79.959999999999994</v>
      </c>
      <c r="F119" s="14" t="s">
        <v>215</v>
      </c>
    </row>
    <row r="120" spans="1:8" x14ac:dyDescent="0.3">
      <c r="A120" t="s">
        <v>216</v>
      </c>
      <c r="B120" s="7" t="s">
        <v>217</v>
      </c>
      <c r="C120" s="4">
        <v>3</v>
      </c>
      <c r="D120" s="9">
        <v>6.99</v>
      </c>
      <c r="E120" s="9">
        <f t="shared" si="3"/>
        <v>20.97</v>
      </c>
      <c r="F120" s="14" t="s">
        <v>218</v>
      </c>
    </row>
    <row r="121" spans="1:8" x14ac:dyDescent="0.3">
      <c r="A121" t="s">
        <v>219</v>
      </c>
      <c r="B121" s="7" t="s">
        <v>220</v>
      </c>
      <c r="C121" s="4">
        <v>6</v>
      </c>
      <c r="D121" s="9">
        <v>2.5</v>
      </c>
      <c r="E121" s="9">
        <f t="shared" si="3"/>
        <v>15</v>
      </c>
      <c r="F121" s="14" t="s">
        <v>221</v>
      </c>
    </row>
    <row r="122" spans="1:8" x14ac:dyDescent="0.3">
      <c r="A122" t="s">
        <v>222</v>
      </c>
      <c r="B122" s="7" t="s">
        <v>223</v>
      </c>
      <c r="C122" s="4">
        <v>4</v>
      </c>
      <c r="D122" s="9">
        <v>4.99</v>
      </c>
      <c r="E122" s="9">
        <f t="shared" si="3"/>
        <v>19.96</v>
      </c>
      <c r="F122" s="14" t="s">
        <v>224</v>
      </c>
    </row>
    <row r="123" spans="1:8" x14ac:dyDescent="0.3">
      <c r="A123" t="s">
        <v>225</v>
      </c>
      <c r="B123" s="7" t="s">
        <v>226</v>
      </c>
      <c r="C123" s="4">
        <v>1</v>
      </c>
      <c r="D123" s="9">
        <v>4.99</v>
      </c>
      <c r="E123" s="9">
        <f t="shared" si="3"/>
        <v>4.99</v>
      </c>
      <c r="F123" s="23" t="s">
        <v>227</v>
      </c>
    </row>
    <row r="124" spans="1:8" x14ac:dyDescent="0.3">
      <c r="A124" t="s">
        <v>228</v>
      </c>
      <c r="B124" s="7" t="s">
        <v>229</v>
      </c>
      <c r="C124" s="4">
        <v>7</v>
      </c>
      <c r="D124" s="9">
        <v>4.99</v>
      </c>
      <c r="E124" s="9">
        <f t="shared" si="3"/>
        <v>34.93</v>
      </c>
      <c r="F124" s="23" t="s">
        <v>230</v>
      </c>
    </row>
    <row r="125" spans="1:8" x14ac:dyDescent="0.3">
      <c r="A125" t="s">
        <v>231</v>
      </c>
      <c r="B125" s="7" t="s">
        <v>232</v>
      </c>
      <c r="C125" s="4">
        <v>8</v>
      </c>
      <c r="D125" s="9">
        <v>5.99</v>
      </c>
      <c r="E125" s="9">
        <f t="shared" si="3"/>
        <v>47.92</v>
      </c>
      <c r="F125" s="23" t="s">
        <v>233</v>
      </c>
    </row>
    <row r="126" spans="1:8" x14ac:dyDescent="0.3">
      <c r="A126" t="s">
        <v>234</v>
      </c>
      <c r="B126" s="7" t="s">
        <v>235</v>
      </c>
      <c r="C126" s="4">
        <v>1</v>
      </c>
      <c r="D126" s="9">
        <v>14.99</v>
      </c>
      <c r="E126" s="9">
        <f t="shared" si="3"/>
        <v>14.99</v>
      </c>
      <c r="F126" s="23" t="s">
        <v>236</v>
      </c>
    </row>
    <row r="127" spans="1:8" x14ac:dyDescent="0.3">
      <c r="A127" t="s">
        <v>237</v>
      </c>
      <c r="B127" s="7" t="s">
        <v>238</v>
      </c>
      <c r="C127" s="4">
        <v>4</v>
      </c>
      <c r="D127" s="9">
        <v>19.989999999999998</v>
      </c>
      <c r="E127" s="9">
        <f t="shared" si="3"/>
        <v>79.959999999999994</v>
      </c>
      <c r="F127" s="23" t="s">
        <v>239</v>
      </c>
    </row>
    <row r="128" spans="1:8" x14ac:dyDescent="0.3">
      <c r="A128" t="s">
        <v>240</v>
      </c>
      <c r="B128" s="7" t="s">
        <v>241</v>
      </c>
      <c r="C128" s="4">
        <v>2</v>
      </c>
      <c r="D128" s="9">
        <v>12.99</v>
      </c>
      <c r="E128" s="9">
        <f t="shared" si="3"/>
        <v>25.98</v>
      </c>
      <c r="F128" s="23" t="s">
        <v>242</v>
      </c>
    </row>
    <row r="129" spans="1:6" x14ac:dyDescent="0.3">
      <c r="A129" t="s">
        <v>243</v>
      </c>
      <c r="B129" s="7" t="s">
        <v>244</v>
      </c>
      <c r="C129" s="4">
        <v>1</v>
      </c>
      <c r="D129" s="9">
        <v>49.99</v>
      </c>
      <c r="E129" s="9">
        <f t="shared" si="3"/>
        <v>49.99</v>
      </c>
      <c r="F129" s="23" t="s">
        <v>245</v>
      </c>
    </row>
    <row r="130" spans="1:6" x14ac:dyDescent="0.3">
      <c r="A130" t="s">
        <v>246</v>
      </c>
      <c r="B130" s="7" t="s">
        <v>247</v>
      </c>
      <c r="C130" s="4">
        <v>1</v>
      </c>
      <c r="D130" s="9">
        <v>2.4900000000000002</v>
      </c>
      <c r="E130" s="9">
        <f t="shared" si="3"/>
        <v>2.4900000000000002</v>
      </c>
      <c r="F130" s="23" t="s">
        <v>248</v>
      </c>
    </row>
    <row r="131" spans="1:6" x14ac:dyDescent="0.3">
      <c r="A131" t="s">
        <v>249</v>
      </c>
      <c r="B131" s="7" t="s">
        <v>250</v>
      </c>
      <c r="C131" s="4">
        <v>1</v>
      </c>
      <c r="D131" s="9">
        <v>4.99</v>
      </c>
      <c r="E131" s="9">
        <f t="shared" si="3"/>
        <v>4.99</v>
      </c>
      <c r="F131" s="23" t="s">
        <v>251</v>
      </c>
    </row>
    <row r="132" spans="1:6" x14ac:dyDescent="0.3">
      <c r="A132" t="s">
        <v>252</v>
      </c>
      <c r="B132" s="7" t="s">
        <v>253</v>
      </c>
      <c r="C132" s="4">
        <v>6</v>
      </c>
      <c r="D132" s="9">
        <v>11.99</v>
      </c>
      <c r="E132" s="9">
        <f t="shared" si="3"/>
        <v>71.94</v>
      </c>
      <c r="F132" s="23" t="s">
        <v>254</v>
      </c>
    </row>
    <row r="133" spans="1:6" x14ac:dyDescent="0.3">
      <c r="A133" t="s">
        <v>255</v>
      </c>
      <c r="B133" s="7" t="s">
        <v>256</v>
      </c>
      <c r="C133" s="4">
        <v>4</v>
      </c>
      <c r="D133" s="9">
        <v>4.99</v>
      </c>
      <c r="E133" s="9">
        <f t="shared" si="3"/>
        <v>19.96</v>
      </c>
      <c r="F133" s="23" t="s">
        <v>257</v>
      </c>
    </row>
    <row r="134" spans="1:6" x14ac:dyDescent="0.3">
      <c r="A134" t="s">
        <v>258</v>
      </c>
      <c r="B134" s="7" t="s">
        <v>259</v>
      </c>
      <c r="C134" s="4">
        <v>1</v>
      </c>
      <c r="D134" s="9">
        <v>1.99</v>
      </c>
      <c r="E134" s="9">
        <f t="shared" si="3"/>
        <v>1.99</v>
      </c>
      <c r="F134" s="23" t="s">
        <v>260</v>
      </c>
    </row>
    <row r="135" spans="1:6" x14ac:dyDescent="0.3">
      <c r="A135" t="s">
        <v>261</v>
      </c>
      <c r="B135" s="7" t="s">
        <v>262</v>
      </c>
      <c r="C135" s="4">
        <v>3</v>
      </c>
      <c r="D135" s="9">
        <v>19.989999999999998</v>
      </c>
      <c r="E135" s="9">
        <f t="shared" si="3"/>
        <v>59.97</v>
      </c>
      <c r="F135" s="23" t="s">
        <v>263</v>
      </c>
    </row>
    <row r="136" spans="1:6" x14ac:dyDescent="0.3">
      <c r="A136" t="s">
        <v>264</v>
      </c>
      <c r="B136" s="7" t="s">
        <v>265</v>
      </c>
      <c r="C136" s="4">
        <v>3</v>
      </c>
      <c r="D136" s="9">
        <v>29.99</v>
      </c>
      <c r="E136" s="9">
        <f t="shared" si="3"/>
        <v>89.97</v>
      </c>
      <c r="F136" s="23" t="s">
        <v>266</v>
      </c>
    </row>
    <row r="137" spans="1:6" x14ac:dyDescent="0.3">
      <c r="A137" t="s">
        <v>267</v>
      </c>
      <c r="B137" s="7" t="s">
        <v>268</v>
      </c>
      <c r="C137" s="4">
        <v>2</v>
      </c>
      <c r="D137" s="9">
        <v>4.99</v>
      </c>
      <c r="E137" s="9">
        <f t="shared" si="3"/>
        <v>9.98</v>
      </c>
      <c r="F137" s="23" t="s">
        <v>269</v>
      </c>
    </row>
    <row r="138" spans="1:6" x14ac:dyDescent="0.3">
      <c r="A138" t="s">
        <v>270</v>
      </c>
      <c r="B138" s="7" t="s">
        <v>271</v>
      </c>
      <c r="C138" s="4">
        <v>1</v>
      </c>
      <c r="D138" s="9">
        <v>9.99</v>
      </c>
      <c r="E138" s="9">
        <f t="shared" si="3"/>
        <v>9.99</v>
      </c>
      <c r="F138" s="23" t="s">
        <v>272</v>
      </c>
    </row>
    <row r="139" spans="1:6" x14ac:dyDescent="0.3">
      <c r="A139" t="s">
        <v>273</v>
      </c>
      <c r="B139" s="7" t="s">
        <v>274</v>
      </c>
      <c r="C139" s="4">
        <v>1</v>
      </c>
      <c r="D139" s="9">
        <v>3.99</v>
      </c>
      <c r="E139" s="9">
        <f t="shared" si="3"/>
        <v>3.99</v>
      </c>
      <c r="F139" s="23" t="s">
        <v>275</v>
      </c>
    </row>
    <row r="140" spans="1:6" x14ac:dyDescent="0.3">
      <c r="A140" t="s">
        <v>276</v>
      </c>
      <c r="B140" s="7" t="s">
        <v>277</v>
      </c>
      <c r="C140" s="4">
        <v>2</v>
      </c>
      <c r="D140" s="9">
        <v>9.99</v>
      </c>
      <c r="E140" s="9">
        <f t="shared" si="3"/>
        <v>19.98</v>
      </c>
      <c r="F140" s="23" t="s">
        <v>278</v>
      </c>
    </row>
    <row r="141" spans="1:6" x14ac:dyDescent="0.3">
      <c r="A141" t="s">
        <v>279</v>
      </c>
      <c r="B141" s="7" t="s">
        <v>280</v>
      </c>
      <c r="C141" s="4">
        <v>1</v>
      </c>
      <c r="D141" s="9">
        <v>3.99</v>
      </c>
      <c r="E141" s="9">
        <f t="shared" si="3"/>
        <v>3.99</v>
      </c>
      <c r="F141" s="23" t="s">
        <v>281</v>
      </c>
    </row>
    <row r="142" spans="1:6" x14ac:dyDescent="0.3">
      <c r="A142" t="s">
        <v>282</v>
      </c>
      <c r="B142" s="7" t="s">
        <v>283</v>
      </c>
      <c r="C142" s="4">
        <v>2</v>
      </c>
      <c r="D142" s="9">
        <v>15.99</v>
      </c>
      <c r="E142" s="9">
        <f t="shared" si="3"/>
        <v>31.98</v>
      </c>
      <c r="F142" s="23" t="s">
        <v>284</v>
      </c>
    </row>
    <row r="143" spans="1:6" x14ac:dyDescent="0.3">
      <c r="A143" t="s">
        <v>285</v>
      </c>
      <c r="B143" s="7" t="s">
        <v>286</v>
      </c>
      <c r="C143" s="4">
        <v>6</v>
      </c>
      <c r="D143" s="9">
        <v>3.99</v>
      </c>
      <c r="E143" s="9">
        <f t="shared" si="3"/>
        <v>23.94</v>
      </c>
      <c r="F143" s="23" t="s">
        <v>287</v>
      </c>
    </row>
    <row r="144" spans="1:6" x14ac:dyDescent="0.3">
      <c r="A144" t="s">
        <v>288</v>
      </c>
      <c r="B144" s="7" t="s">
        <v>289</v>
      </c>
      <c r="C144" s="4">
        <v>2</v>
      </c>
      <c r="D144" s="9">
        <v>4.99</v>
      </c>
      <c r="E144" s="9">
        <f t="shared" si="3"/>
        <v>9.98</v>
      </c>
      <c r="F144" s="23" t="s">
        <v>290</v>
      </c>
    </row>
    <row r="145" spans="1:6" x14ac:dyDescent="0.3">
      <c r="A145" t="s">
        <v>291</v>
      </c>
      <c r="B145" s="7" t="s">
        <v>292</v>
      </c>
      <c r="C145" s="4">
        <v>1</v>
      </c>
      <c r="D145" s="9">
        <v>7.99</v>
      </c>
      <c r="E145" s="9">
        <f t="shared" si="3"/>
        <v>7.99</v>
      </c>
      <c r="F145" s="23" t="s">
        <v>293</v>
      </c>
    </row>
    <row r="146" spans="1:6" x14ac:dyDescent="0.3">
      <c r="A146" t="s">
        <v>294</v>
      </c>
      <c r="B146" s="7" t="s">
        <v>295</v>
      </c>
      <c r="C146" s="4">
        <v>17</v>
      </c>
      <c r="D146" s="9">
        <v>11.99</v>
      </c>
      <c r="E146" s="9">
        <f t="shared" si="3"/>
        <v>203.83</v>
      </c>
      <c r="F146" s="23" t="s">
        <v>296</v>
      </c>
    </row>
    <row r="147" spans="1:6" x14ac:dyDescent="0.3">
      <c r="A147" s="34" t="s">
        <v>297</v>
      </c>
      <c r="B147" s="7" t="s">
        <v>298</v>
      </c>
      <c r="C147" s="4">
        <v>1</v>
      </c>
      <c r="D147" s="9">
        <v>16.989999999999998</v>
      </c>
      <c r="E147" s="9">
        <f>C147*D147</f>
        <v>16.989999999999998</v>
      </c>
      <c r="F147" s="23" t="s">
        <v>299</v>
      </c>
    </row>
    <row r="148" spans="1:6" x14ac:dyDescent="0.3">
      <c r="A148" t="s">
        <v>300</v>
      </c>
      <c r="B148" s="7" t="s">
        <v>301</v>
      </c>
      <c r="C148" s="4">
        <v>2</v>
      </c>
      <c r="D148" s="9">
        <v>19.989999999999998</v>
      </c>
      <c r="E148" s="9">
        <f>C148*D148</f>
        <v>39.979999999999997</v>
      </c>
      <c r="F148" s="23" t="s">
        <v>302</v>
      </c>
    </row>
    <row r="149" spans="1:6" x14ac:dyDescent="0.3">
      <c r="A149" s="35" t="s">
        <v>303</v>
      </c>
      <c r="B149" s="7" t="s">
        <v>304</v>
      </c>
      <c r="C149" s="4">
        <v>8</v>
      </c>
      <c r="D149" s="9">
        <v>39.99</v>
      </c>
      <c r="E149" s="9">
        <f>C149*D149</f>
        <v>319.92</v>
      </c>
      <c r="F149" s="14" t="s">
        <v>305</v>
      </c>
    </row>
    <row r="150" spans="1:6" x14ac:dyDescent="0.3">
      <c r="A150" s="48" t="s">
        <v>306</v>
      </c>
      <c r="B150" s="7" t="s">
        <v>307</v>
      </c>
      <c r="C150" s="4">
        <v>6</v>
      </c>
      <c r="D150" s="9">
        <v>29.99</v>
      </c>
      <c r="E150" s="9">
        <f>C150*D150</f>
        <v>179.94</v>
      </c>
      <c r="F150" s="14" t="s">
        <v>308</v>
      </c>
    </row>
    <row r="151" spans="1:6" x14ac:dyDescent="0.3">
      <c r="A151" t="s">
        <v>309</v>
      </c>
      <c r="B151" s="7" t="s">
        <v>310</v>
      </c>
      <c r="C151" s="4">
        <v>20</v>
      </c>
      <c r="D151" s="9">
        <v>9.99</v>
      </c>
      <c r="E151" s="9">
        <f t="shared" si="3"/>
        <v>199.8</v>
      </c>
      <c r="F151" s="14" t="s">
        <v>311</v>
      </c>
    </row>
    <row r="152" spans="1:6" x14ac:dyDescent="0.3">
      <c r="A152" t="s">
        <v>312</v>
      </c>
      <c r="B152" s="7" t="s">
        <v>313</v>
      </c>
      <c r="C152" s="4">
        <v>15</v>
      </c>
      <c r="D152" s="9">
        <v>59.99</v>
      </c>
      <c r="E152" s="9">
        <f t="shared" si="3"/>
        <v>899.85</v>
      </c>
      <c r="F152" s="23" t="s">
        <v>314</v>
      </c>
    </row>
    <row r="153" spans="1:6" x14ac:dyDescent="0.3">
      <c r="A153" t="s">
        <v>315</v>
      </c>
      <c r="B153" s="7" t="s">
        <v>316</v>
      </c>
      <c r="C153" s="4">
        <v>2</v>
      </c>
      <c r="D153" s="9">
        <v>19.989999999999998</v>
      </c>
      <c r="E153" s="9">
        <f t="shared" si="3"/>
        <v>39.979999999999997</v>
      </c>
      <c r="F153" s="23" t="s">
        <v>317</v>
      </c>
    </row>
    <row r="154" spans="1:6" x14ac:dyDescent="0.3">
      <c r="A154" t="s">
        <v>318</v>
      </c>
      <c r="B154" s="7" t="s">
        <v>319</v>
      </c>
      <c r="C154" s="4">
        <v>1</v>
      </c>
      <c r="D154" s="9">
        <v>4.99</v>
      </c>
      <c r="E154" s="9">
        <f t="shared" si="3"/>
        <v>4.99</v>
      </c>
      <c r="F154" s="23" t="s">
        <v>320</v>
      </c>
    </row>
    <row r="155" spans="1:6" x14ac:dyDescent="0.3">
      <c r="A155" t="s">
        <v>321</v>
      </c>
      <c r="B155" s="7" t="s">
        <v>322</v>
      </c>
      <c r="C155" s="4">
        <v>8</v>
      </c>
      <c r="D155" s="9">
        <v>19.989999999999998</v>
      </c>
      <c r="E155" s="9">
        <f t="shared" si="3"/>
        <v>159.91999999999999</v>
      </c>
      <c r="F155" s="23" t="s">
        <v>323</v>
      </c>
    </row>
    <row r="156" spans="1:6" x14ac:dyDescent="0.3">
      <c r="A156" t="s">
        <v>324</v>
      </c>
      <c r="B156" s="30" t="s">
        <v>325</v>
      </c>
      <c r="C156" s="31">
        <v>1</v>
      </c>
      <c r="D156" s="32">
        <v>127.99</v>
      </c>
      <c r="E156" s="32">
        <f t="shared" si="3"/>
        <v>127.99</v>
      </c>
      <c r="F156" s="33" t="s">
        <v>326</v>
      </c>
    </row>
    <row r="157" spans="1:6" x14ac:dyDescent="0.3">
      <c r="A157" s="34" t="s">
        <v>327</v>
      </c>
      <c r="B157" s="7" t="s">
        <v>328</v>
      </c>
      <c r="C157" s="4">
        <v>2</v>
      </c>
      <c r="D157" s="9">
        <v>5.99</v>
      </c>
      <c r="E157" s="9">
        <f t="shared" si="3"/>
        <v>11.98</v>
      </c>
      <c r="F157" s="23" t="s">
        <v>329</v>
      </c>
    </row>
    <row r="158" spans="1:6" x14ac:dyDescent="0.3">
      <c r="A158" s="34" t="s">
        <v>330</v>
      </c>
      <c r="B158" s="7" t="s">
        <v>331</v>
      </c>
      <c r="C158" s="4">
        <v>1</v>
      </c>
      <c r="D158" s="9">
        <v>8.99</v>
      </c>
      <c r="E158" s="9">
        <f t="shared" si="3"/>
        <v>8.99</v>
      </c>
      <c r="F158" s="23" t="s">
        <v>332</v>
      </c>
    </row>
    <row r="159" spans="1:6" x14ac:dyDescent="0.3">
      <c r="A159" s="34" t="s">
        <v>333</v>
      </c>
      <c r="B159" s="7" t="s">
        <v>334</v>
      </c>
      <c r="C159" s="4">
        <v>2</v>
      </c>
      <c r="D159" s="9">
        <v>12.99</v>
      </c>
      <c r="E159" s="9">
        <f t="shared" si="3"/>
        <v>25.98</v>
      </c>
      <c r="F159" s="23" t="s">
        <v>278</v>
      </c>
    </row>
    <row r="160" spans="1:6" x14ac:dyDescent="0.3">
      <c r="A160" s="34" t="s">
        <v>335</v>
      </c>
      <c r="B160" s="7" t="s">
        <v>336</v>
      </c>
      <c r="C160" s="4">
        <v>21</v>
      </c>
      <c r="D160" s="9">
        <v>3.99</v>
      </c>
      <c r="E160" s="9">
        <f t="shared" si="3"/>
        <v>83.79</v>
      </c>
      <c r="F160" s="23" t="s">
        <v>337</v>
      </c>
    </row>
    <row r="161" spans="1:6" x14ac:dyDescent="0.3">
      <c r="A161" s="34" t="s">
        <v>338</v>
      </c>
      <c r="B161" s="7" t="s">
        <v>339</v>
      </c>
      <c r="C161" s="4">
        <v>31</v>
      </c>
      <c r="D161" s="9">
        <v>4.99</v>
      </c>
      <c r="E161" s="9">
        <f t="shared" si="3"/>
        <v>154.69</v>
      </c>
      <c r="F161" s="23" t="s">
        <v>340</v>
      </c>
    </row>
    <row r="162" spans="1:6" x14ac:dyDescent="0.3">
      <c r="A162" s="34" t="s">
        <v>341</v>
      </c>
      <c r="B162" s="7" t="s">
        <v>342</v>
      </c>
      <c r="C162" s="4">
        <v>71</v>
      </c>
      <c r="D162" s="9">
        <v>3.99</v>
      </c>
      <c r="E162" s="9">
        <f t="shared" si="3"/>
        <v>283.29000000000002</v>
      </c>
      <c r="F162" s="23" t="s">
        <v>343</v>
      </c>
    </row>
    <row r="163" spans="1:6" x14ac:dyDescent="0.3">
      <c r="A163" s="34" t="s">
        <v>344</v>
      </c>
      <c r="B163" s="7" t="s">
        <v>345</v>
      </c>
      <c r="C163" s="4">
        <v>4</v>
      </c>
      <c r="D163" s="9">
        <v>7</v>
      </c>
      <c r="E163" s="9">
        <f t="shared" si="3"/>
        <v>28</v>
      </c>
      <c r="F163" s="23" t="s">
        <v>346</v>
      </c>
    </row>
    <row r="164" spans="1:6" x14ac:dyDescent="0.3">
      <c r="A164" s="34" t="s">
        <v>347</v>
      </c>
      <c r="B164" s="7" t="s">
        <v>348</v>
      </c>
      <c r="C164" s="4">
        <v>2</v>
      </c>
      <c r="D164" s="9">
        <v>7</v>
      </c>
      <c r="E164" s="9">
        <f t="shared" si="3"/>
        <v>14</v>
      </c>
      <c r="F164" s="23" t="s">
        <v>349</v>
      </c>
    </row>
    <row r="165" spans="1:6" x14ac:dyDescent="0.3">
      <c r="A165" s="34" t="s">
        <v>350</v>
      </c>
      <c r="B165" s="7" t="s">
        <v>351</v>
      </c>
      <c r="C165" s="4">
        <v>4</v>
      </c>
      <c r="D165" s="9">
        <v>6.99</v>
      </c>
      <c r="E165" s="9">
        <f t="shared" si="3"/>
        <v>27.96</v>
      </c>
      <c r="F165" s="23" t="s">
        <v>352</v>
      </c>
    </row>
    <row r="166" spans="1:6" x14ac:dyDescent="0.3">
      <c r="A166" s="34" t="s">
        <v>353</v>
      </c>
      <c r="B166" s="7" t="s">
        <v>354</v>
      </c>
      <c r="C166" s="4">
        <v>6</v>
      </c>
      <c r="D166" s="9">
        <v>9.99</v>
      </c>
      <c r="E166" s="9">
        <f t="shared" si="3"/>
        <v>59.94</v>
      </c>
      <c r="F166" s="14" t="s">
        <v>355</v>
      </c>
    </row>
    <row r="167" spans="1:6" x14ac:dyDescent="0.3">
      <c r="A167" s="34" t="s">
        <v>356</v>
      </c>
      <c r="B167" s="7" t="s">
        <v>357</v>
      </c>
      <c r="C167" s="4">
        <v>4</v>
      </c>
      <c r="D167" s="9">
        <v>3.99</v>
      </c>
      <c r="E167" s="9">
        <f t="shared" si="3"/>
        <v>15.96</v>
      </c>
      <c r="F167" s="23" t="s">
        <v>358</v>
      </c>
    </row>
    <row r="168" spans="1:6" x14ac:dyDescent="0.3">
      <c r="A168" s="34" t="s">
        <v>359</v>
      </c>
      <c r="B168" s="7" t="s">
        <v>360</v>
      </c>
      <c r="C168" s="4">
        <v>1</v>
      </c>
      <c r="D168" s="9">
        <v>99.99</v>
      </c>
      <c r="E168" s="9">
        <f t="shared" si="3"/>
        <v>99.99</v>
      </c>
      <c r="F168" s="23" t="s">
        <v>361</v>
      </c>
    </row>
    <row r="169" spans="1:6" x14ac:dyDescent="0.3">
      <c r="A169" s="34" t="s">
        <v>362</v>
      </c>
      <c r="B169" s="7" t="s">
        <v>363</v>
      </c>
      <c r="C169" s="4">
        <v>1</v>
      </c>
      <c r="D169" s="9">
        <v>22.98</v>
      </c>
      <c r="E169" s="9">
        <f t="shared" si="3"/>
        <v>22.98</v>
      </c>
      <c r="F169" s="23" t="s">
        <v>364</v>
      </c>
    </row>
    <row r="170" spans="1:6" x14ac:dyDescent="0.3">
      <c r="A170" s="34" t="s">
        <v>365</v>
      </c>
      <c r="B170" s="7" t="s">
        <v>366</v>
      </c>
      <c r="C170" s="4">
        <v>7</v>
      </c>
      <c r="D170" s="9">
        <v>4.99</v>
      </c>
      <c r="E170" s="9">
        <f t="shared" si="3"/>
        <v>34.93</v>
      </c>
      <c r="F170" s="23" t="s">
        <v>367</v>
      </c>
    </row>
    <row r="171" spans="1:6" x14ac:dyDescent="0.3">
      <c r="A171" s="34" t="s">
        <v>368</v>
      </c>
      <c r="B171" s="7" t="s">
        <v>369</v>
      </c>
      <c r="C171" s="4">
        <v>1</v>
      </c>
      <c r="D171" s="9">
        <v>19.989999999999998</v>
      </c>
      <c r="E171" s="9">
        <f t="shared" si="3"/>
        <v>19.989999999999998</v>
      </c>
      <c r="F171" s="23" t="s">
        <v>370</v>
      </c>
    </row>
    <row r="172" spans="1:6" x14ac:dyDescent="0.3">
      <c r="A172" s="34" t="s">
        <v>371</v>
      </c>
      <c r="B172" s="7" t="s">
        <v>372</v>
      </c>
      <c r="C172" s="4">
        <v>1</v>
      </c>
      <c r="D172" s="9">
        <v>5.99</v>
      </c>
      <c r="E172" s="9">
        <f t="shared" si="3"/>
        <v>5.99</v>
      </c>
      <c r="F172" s="23" t="s">
        <v>373</v>
      </c>
    </row>
    <row r="173" spans="1:6" x14ac:dyDescent="0.3">
      <c r="A173" s="34" t="s">
        <v>374</v>
      </c>
      <c r="B173" s="7" t="s">
        <v>375</v>
      </c>
      <c r="C173" s="4">
        <v>5</v>
      </c>
      <c r="D173" s="9">
        <v>6.99</v>
      </c>
      <c r="E173" s="9">
        <f t="shared" si="3"/>
        <v>34.950000000000003</v>
      </c>
      <c r="F173" s="23" t="s">
        <v>376</v>
      </c>
    </row>
    <row r="174" spans="1:6" x14ac:dyDescent="0.3">
      <c r="A174" s="34" t="s">
        <v>377</v>
      </c>
      <c r="B174" s="7" t="s">
        <v>366</v>
      </c>
      <c r="C174" s="4">
        <v>1</v>
      </c>
      <c r="D174" s="9">
        <v>1.99</v>
      </c>
      <c r="E174" s="9">
        <f t="shared" si="3"/>
        <v>1.99</v>
      </c>
      <c r="F174" s="23" t="s">
        <v>378</v>
      </c>
    </row>
    <row r="175" spans="1:6" x14ac:dyDescent="0.3">
      <c r="A175" s="34" t="s">
        <v>379</v>
      </c>
      <c r="B175" s="7" t="s">
        <v>380</v>
      </c>
      <c r="C175" s="4">
        <v>1</v>
      </c>
      <c r="D175" s="9">
        <v>19.989999999999998</v>
      </c>
      <c r="E175" s="9">
        <f t="shared" si="3"/>
        <v>19.989999999999998</v>
      </c>
      <c r="F175" s="23" t="s">
        <v>381</v>
      </c>
    </row>
    <row r="176" spans="1:6" x14ac:dyDescent="0.3">
      <c r="A176" s="34" t="s">
        <v>382</v>
      </c>
      <c r="B176" s="7" t="s">
        <v>383</v>
      </c>
      <c r="C176" s="4">
        <v>1</v>
      </c>
      <c r="D176" s="9">
        <v>4.99</v>
      </c>
      <c r="E176" s="9">
        <f t="shared" si="3"/>
        <v>4.99</v>
      </c>
      <c r="F176" s="23" t="s">
        <v>384</v>
      </c>
    </row>
    <row r="177" spans="1:6" x14ac:dyDescent="0.3">
      <c r="A177" s="34" t="s">
        <v>385</v>
      </c>
      <c r="B177" s="7" t="s">
        <v>386</v>
      </c>
      <c r="C177" s="4">
        <v>6</v>
      </c>
      <c r="D177" s="9">
        <v>22.99</v>
      </c>
      <c r="E177" s="9">
        <f t="shared" si="3"/>
        <v>137.94</v>
      </c>
      <c r="F177" s="23" t="s">
        <v>387</v>
      </c>
    </row>
    <row r="178" spans="1:6" x14ac:dyDescent="0.3">
      <c r="A178" s="34" t="s">
        <v>388</v>
      </c>
      <c r="B178" s="7" t="s">
        <v>389</v>
      </c>
      <c r="C178" s="4">
        <v>3</v>
      </c>
      <c r="D178" s="9">
        <v>4.99</v>
      </c>
      <c r="E178" s="9">
        <f t="shared" si="3"/>
        <v>14.97</v>
      </c>
      <c r="F178" s="23" t="s">
        <v>390</v>
      </c>
    </row>
    <row r="179" spans="1:6" x14ac:dyDescent="0.3">
      <c r="A179" s="34" t="s">
        <v>391</v>
      </c>
      <c r="B179" s="7" t="s">
        <v>392</v>
      </c>
      <c r="C179" s="4">
        <v>2</v>
      </c>
      <c r="D179" s="9">
        <v>19.989999999999998</v>
      </c>
      <c r="E179" s="9">
        <f t="shared" si="3"/>
        <v>39.979999999999997</v>
      </c>
      <c r="F179" s="23" t="s">
        <v>393</v>
      </c>
    </row>
    <row r="180" spans="1:6" x14ac:dyDescent="0.3">
      <c r="A180" s="34" t="s">
        <v>394</v>
      </c>
      <c r="B180" s="7" t="s">
        <v>395</v>
      </c>
      <c r="C180" s="4">
        <v>2</v>
      </c>
      <c r="D180" s="9">
        <v>14.99</v>
      </c>
      <c r="E180" s="9">
        <f t="shared" si="3"/>
        <v>29.98</v>
      </c>
      <c r="F180" s="23" t="s">
        <v>396</v>
      </c>
    </row>
    <row r="181" spans="1:6" x14ac:dyDescent="0.3">
      <c r="A181" s="34" t="s">
        <v>397</v>
      </c>
      <c r="B181" s="7" t="s">
        <v>398</v>
      </c>
      <c r="C181" s="4">
        <v>1</v>
      </c>
      <c r="D181" s="9">
        <v>9.99</v>
      </c>
      <c r="E181" s="9">
        <f t="shared" si="3"/>
        <v>9.99</v>
      </c>
      <c r="F181" s="14" t="s">
        <v>399</v>
      </c>
    </row>
    <row r="182" spans="1:6" x14ac:dyDescent="0.3">
      <c r="A182" s="34" t="s">
        <v>400</v>
      </c>
      <c r="B182" s="7" t="s">
        <v>401</v>
      </c>
      <c r="C182" s="4">
        <v>1</v>
      </c>
      <c r="D182" s="9">
        <v>9.99</v>
      </c>
      <c r="E182" s="9">
        <f t="shared" si="3"/>
        <v>9.99</v>
      </c>
      <c r="F182" s="23" t="s">
        <v>402</v>
      </c>
    </row>
    <row r="183" spans="1:6" x14ac:dyDescent="0.3">
      <c r="A183" s="34" t="s">
        <v>403</v>
      </c>
      <c r="B183" s="7" t="s">
        <v>404</v>
      </c>
      <c r="C183" s="4">
        <v>3</v>
      </c>
      <c r="D183" s="9">
        <v>2.4900000000000002</v>
      </c>
      <c r="E183" s="9">
        <f t="shared" si="3"/>
        <v>7.4700000000000006</v>
      </c>
      <c r="F183" s="23" t="s">
        <v>405</v>
      </c>
    </row>
    <row r="184" spans="1:6" x14ac:dyDescent="0.3">
      <c r="A184" s="34" t="s">
        <v>406</v>
      </c>
      <c r="B184" s="7" t="s">
        <v>407</v>
      </c>
      <c r="C184" s="4">
        <v>1</v>
      </c>
      <c r="D184" s="9">
        <v>3.99</v>
      </c>
      <c r="E184" s="9">
        <f t="shared" si="3"/>
        <v>3.99</v>
      </c>
      <c r="F184" s="26" t="s">
        <v>408</v>
      </c>
    </row>
    <row r="185" spans="1:6" x14ac:dyDescent="0.3">
      <c r="A185" s="34" t="s">
        <v>409</v>
      </c>
      <c r="B185" s="7" t="s">
        <v>410</v>
      </c>
      <c r="C185" s="4">
        <v>4</v>
      </c>
      <c r="D185" s="9">
        <v>1.49</v>
      </c>
      <c r="E185" s="9">
        <f t="shared" si="3"/>
        <v>5.96</v>
      </c>
      <c r="F185" s="26" t="s">
        <v>411</v>
      </c>
    </row>
    <row r="186" spans="1:6" x14ac:dyDescent="0.3">
      <c r="A186" s="34" t="s">
        <v>412</v>
      </c>
      <c r="B186" s="7" t="s">
        <v>413</v>
      </c>
      <c r="C186" s="4">
        <v>1</v>
      </c>
      <c r="D186" s="9">
        <v>2.99</v>
      </c>
      <c r="E186" s="9">
        <f t="shared" si="3"/>
        <v>2.99</v>
      </c>
      <c r="F186" s="26" t="s">
        <v>414</v>
      </c>
    </row>
    <row r="187" spans="1:6" x14ac:dyDescent="0.3">
      <c r="A187" s="34" t="s">
        <v>415</v>
      </c>
      <c r="B187" s="7" t="s">
        <v>416</v>
      </c>
      <c r="C187" s="4">
        <v>1</v>
      </c>
      <c r="D187" s="9">
        <v>7.99</v>
      </c>
      <c r="E187" s="9">
        <f t="shared" si="3"/>
        <v>7.99</v>
      </c>
      <c r="F187" s="26" t="s">
        <v>417</v>
      </c>
    </row>
    <row r="188" spans="1:6" x14ac:dyDescent="0.3">
      <c r="A188" s="34" t="s">
        <v>418</v>
      </c>
      <c r="B188" s="7" t="s">
        <v>419</v>
      </c>
      <c r="C188" s="4">
        <v>6</v>
      </c>
      <c r="D188" s="9">
        <v>4.99</v>
      </c>
      <c r="E188" s="9">
        <f t="shared" si="3"/>
        <v>29.94</v>
      </c>
      <c r="F188" s="26" t="s">
        <v>420</v>
      </c>
    </row>
    <row r="189" spans="1:6" x14ac:dyDescent="0.3">
      <c r="A189" s="34" t="s">
        <v>421</v>
      </c>
      <c r="B189" s="7" t="s">
        <v>422</v>
      </c>
      <c r="C189" s="4">
        <v>2</v>
      </c>
      <c r="D189" s="9">
        <v>3.49</v>
      </c>
      <c r="E189" s="9">
        <f t="shared" si="3"/>
        <v>6.98</v>
      </c>
      <c r="F189" s="26" t="s">
        <v>423</v>
      </c>
    </row>
    <row r="190" spans="1:6" x14ac:dyDescent="0.3">
      <c r="A190" s="34" t="s">
        <v>424</v>
      </c>
      <c r="B190" s="7" t="s">
        <v>425</v>
      </c>
      <c r="C190" s="4">
        <v>1</v>
      </c>
      <c r="D190" s="9">
        <v>39.99</v>
      </c>
      <c r="E190" s="9">
        <f t="shared" si="3"/>
        <v>39.99</v>
      </c>
      <c r="F190" s="26" t="s">
        <v>426</v>
      </c>
    </row>
    <row r="191" spans="1:6" x14ac:dyDescent="0.3">
      <c r="A191" s="34" t="s">
        <v>427</v>
      </c>
      <c r="B191" s="7" t="s">
        <v>428</v>
      </c>
      <c r="C191" s="4">
        <v>11</v>
      </c>
      <c r="D191" s="9">
        <v>5.99</v>
      </c>
      <c r="E191" s="9">
        <f t="shared" si="3"/>
        <v>65.89</v>
      </c>
      <c r="F191" s="26" t="s">
        <v>429</v>
      </c>
    </row>
    <row r="192" spans="1:6" x14ac:dyDescent="0.3">
      <c r="A192" s="34" t="s">
        <v>430</v>
      </c>
      <c r="B192" s="7" t="s">
        <v>431</v>
      </c>
      <c r="C192" s="4">
        <v>12</v>
      </c>
      <c r="D192" s="9">
        <v>4.99</v>
      </c>
      <c r="E192" s="9">
        <f t="shared" si="3"/>
        <v>59.88</v>
      </c>
      <c r="F192" s="26" t="s">
        <v>432</v>
      </c>
    </row>
    <row r="193" spans="1:6" x14ac:dyDescent="0.3">
      <c r="A193" s="34" t="s">
        <v>433</v>
      </c>
      <c r="B193" s="7" t="s">
        <v>434</v>
      </c>
      <c r="C193" s="4">
        <v>15</v>
      </c>
      <c r="D193" s="9">
        <v>4.99</v>
      </c>
      <c r="E193" s="9">
        <f t="shared" si="3"/>
        <v>74.850000000000009</v>
      </c>
      <c r="F193" s="26" t="s">
        <v>435</v>
      </c>
    </row>
    <row r="194" spans="1:6" x14ac:dyDescent="0.3">
      <c r="A194" s="34" t="s">
        <v>436</v>
      </c>
      <c r="B194" s="7" t="s">
        <v>437</v>
      </c>
      <c r="C194" s="4">
        <v>4</v>
      </c>
      <c r="D194" s="9">
        <v>3.99</v>
      </c>
      <c r="E194" s="9">
        <f t="shared" si="3"/>
        <v>15.96</v>
      </c>
      <c r="F194" s="26" t="s">
        <v>438</v>
      </c>
    </row>
    <row r="195" spans="1:6" x14ac:dyDescent="0.3">
      <c r="A195" s="34" t="s">
        <v>439</v>
      </c>
      <c r="B195" s="7" t="s">
        <v>440</v>
      </c>
      <c r="C195" s="4">
        <v>4</v>
      </c>
      <c r="D195" s="9">
        <v>3.99</v>
      </c>
      <c r="E195" s="9">
        <f t="shared" si="3"/>
        <v>15.96</v>
      </c>
      <c r="F195" s="26" t="s">
        <v>441</v>
      </c>
    </row>
    <row r="196" spans="1:6" x14ac:dyDescent="0.3">
      <c r="A196" s="26" t="s">
        <v>442</v>
      </c>
      <c r="B196" s="7" t="s">
        <v>443</v>
      </c>
      <c r="C196" s="4">
        <v>12</v>
      </c>
      <c r="D196" s="9">
        <v>3.99</v>
      </c>
      <c r="E196" s="9">
        <f t="shared" si="3"/>
        <v>47.88</v>
      </c>
      <c r="F196" s="26" t="s">
        <v>444</v>
      </c>
    </row>
    <row r="197" spans="1:6" x14ac:dyDescent="0.3">
      <c r="A197" s="26" t="s">
        <v>445</v>
      </c>
      <c r="B197" s="7" t="s">
        <v>446</v>
      </c>
      <c r="C197" s="4">
        <v>3</v>
      </c>
      <c r="D197" s="9">
        <v>9.99</v>
      </c>
      <c r="E197" s="9">
        <f t="shared" si="3"/>
        <v>29.97</v>
      </c>
      <c r="F197" s="26" t="s">
        <v>447</v>
      </c>
    </row>
    <row r="198" spans="1:6" x14ac:dyDescent="0.3">
      <c r="A198" s="26" t="s">
        <v>448</v>
      </c>
      <c r="B198" s="7" t="s">
        <v>449</v>
      </c>
      <c r="C198" s="4">
        <v>1</v>
      </c>
      <c r="D198" s="9">
        <v>12.99</v>
      </c>
      <c r="E198" s="9">
        <f t="shared" si="3"/>
        <v>12.99</v>
      </c>
      <c r="F198" s="26" t="s">
        <v>450</v>
      </c>
    </row>
    <row r="199" spans="1:6" x14ac:dyDescent="0.3">
      <c r="A199" s="26" t="s">
        <v>451</v>
      </c>
      <c r="B199" s="7" t="s">
        <v>452</v>
      </c>
      <c r="C199" s="4">
        <v>2</v>
      </c>
      <c r="D199" s="9">
        <v>5.98</v>
      </c>
      <c r="E199" s="9">
        <f t="shared" si="3"/>
        <v>11.96</v>
      </c>
      <c r="F199" s="26" t="s">
        <v>453</v>
      </c>
    </row>
    <row r="200" spans="1:6" x14ac:dyDescent="0.3">
      <c r="A200" s="26" t="s">
        <v>454</v>
      </c>
      <c r="B200" s="7" t="s">
        <v>455</v>
      </c>
      <c r="C200" s="4">
        <v>2</v>
      </c>
      <c r="D200" s="9">
        <v>8.98</v>
      </c>
      <c r="E200" s="9">
        <f t="shared" si="3"/>
        <v>17.96</v>
      </c>
      <c r="F200" s="26" t="s">
        <v>456</v>
      </c>
    </row>
    <row r="201" spans="1:6" x14ac:dyDescent="0.3">
      <c r="A201" s="26" t="s">
        <v>457</v>
      </c>
      <c r="B201" s="7" t="s">
        <v>366</v>
      </c>
      <c r="C201" s="4">
        <v>3</v>
      </c>
      <c r="D201" s="9">
        <v>3.99</v>
      </c>
      <c r="E201" s="9">
        <f t="shared" si="3"/>
        <v>11.97</v>
      </c>
      <c r="F201" s="26" t="s">
        <v>458</v>
      </c>
    </row>
    <row r="202" spans="1:6" x14ac:dyDescent="0.3">
      <c r="A202" s="26" t="s">
        <v>459</v>
      </c>
      <c r="B202" s="7" t="s">
        <v>460</v>
      </c>
      <c r="C202" s="4">
        <v>2</v>
      </c>
      <c r="D202" s="9">
        <v>1.49</v>
      </c>
      <c r="E202" s="9">
        <f t="shared" si="3"/>
        <v>2.98</v>
      </c>
      <c r="F202" s="26" t="s">
        <v>461</v>
      </c>
    </row>
    <row r="203" spans="1:6" x14ac:dyDescent="0.3">
      <c r="A203" s="26" t="s">
        <v>462</v>
      </c>
      <c r="B203" s="7" t="s">
        <v>463</v>
      </c>
      <c r="C203" s="4">
        <v>1</v>
      </c>
      <c r="D203" s="36">
        <v>9.99</v>
      </c>
      <c r="E203" s="36">
        <f t="shared" si="3"/>
        <v>9.99</v>
      </c>
      <c r="F203" s="26" t="s">
        <v>464</v>
      </c>
    </row>
    <row r="204" spans="1:6" x14ac:dyDescent="0.3">
      <c r="A204" s="26" t="s">
        <v>465</v>
      </c>
      <c r="B204" s="7" t="s">
        <v>466</v>
      </c>
      <c r="C204" s="4">
        <v>2</v>
      </c>
      <c r="D204" s="36">
        <v>12.99</v>
      </c>
      <c r="E204" s="36">
        <f t="shared" si="3"/>
        <v>25.98</v>
      </c>
      <c r="F204" s="26" t="s">
        <v>467</v>
      </c>
    </row>
    <row r="205" spans="1:6" x14ac:dyDescent="0.3">
      <c r="A205" s="26" t="s">
        <v>468</v>
      </c>
      <c r="B205" s="7" t="s">
        <v>469</v>
      </c>
      <c r="C205" s="4">
        <v>2</v>
      </c>
      <c r="D205" s="36">
        <v>12.99</v>
      </c>
      <c r="E205" s="36">
        <f t="shared" si="3"/>
        <v>25.98</v>
      </c>
      <c r="F205" s="26" t="s">
        <v>470</v>
      </c>
    </row>
    <row r="206" spans="1:6" x14ac:dyDescent="0.3">
      <c r="A206" s="26" t="s">
        <v>471</v>
      </c>
      <c r="B206" s="7" t="s">
        <v>472</v>
      </c>
      <c r="C206" s="4">
        <v>1</v>
      </c>
      <c r="D206" s="36">
        <v>9.99</v>
      </c>
      <c r="E206" s="36">
        <f t="shared" si="3"/>
        <v>9.99</v>
      </c>
      <c r="F206" s="37" t="s">
        <v>473</v>
      </c>
    </row>
    <row r="207" spans="1:6" x14ac:dyDescent="0.3">
      <c r="A207" s="26" t="s">
        <v>474</v>
      </c>
      <c r="B207" s="7" t="s">
        <v>475</v>
      </c>
      <c r="C207" s="4">
        <v>2</v>
      </c>
      <c r="D207" s="36">
        <v>9.99</v>
      </c>
      <c r="E207" s="36">
        <f t="shared" si="3"/>
        <v>19.98</v>
      </c>
      <c r="F207" s="26" t="s">
        <v>476</v>
      </c>
    </row>
    <row r="208" spans="1:6" x14ac:dyDescent="0.3">
      <c r="A208" s="26" t="s">
        <v>477</v>
      </c>
      <c r="B208" s="7" t="s">
        <v>478</v>
      </c>
      <c r="C208" s="4">
        <v>2</v>
      </c>
      <c r="D208" s="36">
        <v>9.99</v>
      </c>
      <c r="E208" s="36">
        <f t="shared" si="3"/>
        <v>19.98</v>
      </c>
      <c r="F208" s="26" t="s">
        <v>479</v>
      </c>
    </row>
    <row r="209" spans="1:6" x14ac:dyDescent="0.3">
      <c r="A209" s="26" t="s">
        <v>480</v>
      </c>
      <c r="B209" s="7" t="s">
        <v>481</v>
      </c>
      <c r="C209" s="4">
        <v>14</v>
      </c>
      <c r="D209" s="36">
        <v>9.99</v>
      </c>
      <c r="E209" s="36">
        <f t="shared" si="3"/>
        <v>139.86000000000001</v>
      </c>
      <c r="F209" s="26" t="s">
        <v>482</v>
      </c>
    </row>
    <row r="210" spans="1:6" x14ac:dyDescent="0.3">
      <c r="A210" s="26" t="s">
        <v>483</v>
      </c>
      <c r="B210" s="7" t="s">
        <v>484</v>
      </c>
      <c r="C210" s="4">
        <v>14</v>
      </c>
      <c r="D210" s="36">
        <v>14.99</v>
      </c>
      <c r="E210" s="36">
        <f t="shared" si="3"/>
        <v>209.86</v>
      </c>
      <c r="F210" s="26" t="s">
        <v>485</v>
      </c>
    </row>
    <row r="211" spans="1:6" x14ac:dyDescent="0.3">
      <c r="A211" s="26" t="s">
        <v>486</v>
      </c>
      <c r="B211" s="7" t="s">
        <v>487</v>
      </c>
      <c r="C211" s="4">
        <v>1</v>
      </c>
      <c r="D211" s="36">
        <v>29.99</v>
      </c>
      <c r="E211" s="36">
        <f t="shared" si="3"/>
        <v>29.99</v>
      </c>
      <c r="F211" s="26" t="s">
        <v>488</v>
      </c>
    </row>
    <row r="212" spans="1:6" x14ac:dyDescent="0.3">
      <c r="A212" s="26" t="s">
        <v>489</v>
      </c>
      <c r="B212" s="7" t="s">
        <v>490</v>
      </c>
      <c r="C212" s="4">
        <v>1</v>
      </c>
      <c r="D212" s="36">
        <v>16.989999999999998</v>
      </c>
      <c r="E212" s="36">
        <f t="shared" si="3"/>
        <v>16.989999999999998</v>
      </c>
      <c r="F212" s="26" t="s">
        <v>491</v>
      </c>
    </row>
    <row r="213" spans="1:6" x14ac:dyDescent="0.3">
      <c r="A213" s="26" t="s">
        <v>492</v>
      </c>
      <c r="B213" s="7" t="s">
        <v>493</v>
      </c>
      <c r="C213" s="4">
        <v>4</v>
      </c>
      <c r="D213" s="36">
        <v>19.989999999999998</v>
      </c>
      <c r="E213" s="36">
        <f t="shared" si="3"/>
        <v>79.959999999999994</v>
      </c>
      <c r="F213" s="26" t="s">
        <v>494</v>
      </c>
    </row>
    <row r="214" spans="1:6" x14ac:dyDescent="0.3">
      <c r="A214" s="26" t="s">
        <v>495</v>
      </c>
      <c r="B214" s="7" t="s">
        <v>496</v>
      </c>
      <c r="C214" s="4">
        <v>4</v>
      </c>
      <c r="D214" s="36">
        <v>4.99</v>
      </c>
      <c r="E214" s="36">
        <f t="shared" si="3"/>
        <v>19.96</v>
      </c>
      <c r="F214" s="26" t="s">
        <v>497</v>
      </c>
    </row>
    <row r="215" spans="1:6" x14ac:dyDescent="0.3">
      <c r="A215" s="26" t="s">
        <v>498</v>
      </c>
      <c r="B215" s="7" t="s">
        <v>499</v>
      </c>
      <c r="C215" s="4">
        <v>1</v>
      </c>
      <c r="D215" s="36">
        <v>17.989999999999998</v>
      </c>
      <c r="E215" s="36">
        <f t="shared" si="3"/>
        <v>17.989999999999998</v>
      </c>
      <c r="F215" s="26" t="s">
        <v>500</v>
      </c>
    </row>
    <row r="216" spans="1:6" x14ac:dyDescent="0.3">
      <c r="A216" s="26" t="s">
        <v>501</v>
      </c>
      <c r="B216" s="7" t="s">
        <v>502</v>
      </c>
      <c r="C216" s="4">
        <v>3</v>
      </c>
      <c r="D216" s="36">
        <v>1.49</v>
      </c>
      <c r="E216" s="36">
        <f t="shared" si="3"/>
        <v>4.47</v>
      </c>
      <c r="F216" s="26" t="s">
        <v>503</v>
      </c>
    </row>
    <row r="217" spans="1:6" x14ac:dyDescent="0.3">
      <c r="A217" s="26" t="s">
        <v>504</v>
      </c>
      <c r="B217" s="7" t="s">
        <v>505</v>
      </c>
      <c r="C217" s="4">
        <v>1</v>
      </c>
      <c r="D217" s="36">
        <v>19.989999999999998</v>
      </c>
      <c r="E217" s="36">
        <f t="shared" si="3"/>
        <v>19.989999999999998</v>
      </c>
      <c r="F217" s="26" t="s">
        <v>506</v>
      </c>
    </row>
    <row r="218" spans="1:6" x14ac:dyDescent="0.3">
      <c r="A218" s="26" t="s">
        <v>507</v>
      </c>
      <c r="B218" s="7" t="s">
        <v>508</v>
      </c>
      <c r="C218" s="4">
        <v>3</v>
      </c>
      <c r="D218" s="36">
        <v>5.99</v>
      </c>
      <c r="E218" s="36">
        <f t="shared" si="3"/>
        <v>17.97</v>
      </c>
      <c r="F218" s="26" t="s">
        <v>509</v>
      </c>
    </row>
    <row r="219" spans="1:6" x14ac:dyDescent="0.3">
      <c r="A219" s="26" t="s">
        <v>510</v>
      </c>
      <c r="B219" s="7" t="s">
        <v>511</v>
      </c>
      <c r="C219" s="4">
        <v>1</v>
      </c>
      <c r="D219" s="36">
        <v>12.99</v>
      </c>
      <c r="E219" s="36">
        <f t="shared" si="3"/>
        <v>12.99</v>
      </c>
      <c r="F219" s="26" t="s">
        <v>512</v>
      </c>
    </row>
    <row r="220" spans="1:6" x14ac:dyDescent="0.3">
      <c r="A220" s="26" t="s">
        <v>513</v>
      </c>
      <c r="B220" s="7" t="s">
        <v>514</v>
      </c>
      <c r="C220" s="4">
        <v>2</v>
      </c>
      <c r="D220" s="36">
        <v>14.99</v>
      </c>
      <c r="E220" s="36">
        <f t="shared" si="3"/>
        <v>29.98</v>
      </c>
      <c r="F220" s="26" t="s">
        <v>515</v>
      </c>
    </row>
    <row r="221" spans="1:6" x14ac:dyDescent="0.3">
      <c r="A221" s="26" t="s">
        <v>516</v>
      </c>
      <c r="B221" s="7" t="s">
        <v>517</v>
      </c>
      <c r="C221" s="4">
        <v>3</v>
      </c>
      <c r="D221" s="36">
        <v>1.49</v>
      </c>
      <c r="E221" s="36">
        <f t="shared" si="3"/>
        <v>4.47</v>
      </c>
      <c r="F221" s="26" t="s">
        <v>518</v>
      </c>
    </row>
    <row r="222" spans="1:6" x14ac:dyDescent="0.3">
      <c r="A222" s="26" t="s">
        <v>519</v>
      </c>
      <c r="B222" s="7" t="s">
        <v>520</v>
      </c>
      <c r="C222" s="4">
        <v>2</v>
      </c>
      <c r="D222" s="36">
        <v>69.989999999999995</v>
      </c>
      <c r="E222" s="36">
        <f t="shared" si="3"/>
        <v>139.97999999999999</v>
      </c>
      <c r="F222" s="26" t="s">
        <v>521</v>
      </c>
    </row>
    <row r="223" spans="1:6" x14ac:dyDescent="0.3">
      <c r="A223" s="7" t="s">
        <v>522</v>
      </c>
      <c r="B223" s="7" t="s">
        <v>523</v>
      </c>
      <c r="C223" s="4">
        <v>8</v>
      </c>
      <c r="D223" s="36">
        <v>3.49</v>
      </c>
      <c r="E223" s="36">
        <f t="shared" si="3"/>
        <v>27.92</v>
      </c>
      <c r="F223" s="37" t="s">
        <v>524</v>
      </c>
    </row>
    <row r="224" spans="1:6" x14ac:dyDescent="0.3">
      <c r="A224" s="7" t="s">
        <v>525</v>
      </c>
      <c r="B224" s="7" t="s">
        <v>526</v>
      </c>
      <c r="C224" s="4">
        <v>1</v>
      </c>
      <c r="D224" s="4">
        <v>23.96</v>
      </c>
      <c r="E224" s="36">
        <f t="shared" si="3"/>
        <v>23.96</v>
      </c>
      <c r="F224" s="29" t="s">
        <v>527</v>
      </c>
    </row>
    <row r="225" spans="1:6" x14ac:dyDescent="0.3">
      <c r="A225" s="7" t="s">
        <v>528</v>
      </c>
      <c r="B225" s="7" t="s">
        <v>529</v>
      </c>
      <c r="C225" s="4">
        <v>1</v>
      </c>
      <c r="D225" s="4">
        <v>12.99</v>
      </c>
      <c r="E225" s="36">
        <f t="shared" si="3"/>
        <v>12.99</v>
      </c>
      <c r="F225" s="29" t="s">
        <v>530</v>
      </c>
    </row>
    <row r="226" spans="1:6" x14ac:dyDescent="0.3">
      <c r="A226" s="7" t="s">
        <v>531</v>
      </c>
      <c r="B226" s="7" t="s">
        <v>532</v>
      </c>
      <c r="C226" s="4">
        <v>1</v>
      </c>
      <c r="D226" s="4">
        <v>19.989999999999998</v>
      </c>
      <c r="E226" s="36">
        <f t="shared" ref="E226:E307" si="4">C226*D226</f>
        <v>19.989999999999998</v>
      </c>
      <c r="F226" s="29" t="s">
        <v>533</v>
      </c>
    </row>
    <row r="227" spans="1:6" x14ac:dyDescent="0.3">
      <c r="A227" s="7" t="s">
        <v>534</v>
      </c>
      <c r="B227" s="7" t="s">
        <v>535</v>
      </c>
      <c r="C227" s="4">
        <v>7</v>
      </c>
      <c r="D227" s="4">
        <v>14.99</v>
      </c>
      <c r="E227" s="36">
        <f t="shared" si="4"/>
        <v>104.93</v>
      </c>
      <c r="F227" s="29" t="s">
        <v>536</v>
      </c>
    </row>
    <row r="228" spans="1:6" x14ac:dyDescent="0.3">
      <c r="A228" s="7" t="s">
        <v>537</v>
      </c>
      <c r="B228" s="7" t="s">
        <v>538</v>
      </c>
      <c r="C228" s="4">
        <v>1</v>
      </c>
      <c r="D228" s="4">
        <v>9.99</v>
      </c>
      <c r="E228" s="36">
        <f t="shared" si="4"/>
        <v>9.99</v>
      </c>
      <c r="F228" s="29" t="s">
        <v>539</v>
      </c>
    </row>
    <row r="229" spans="1:6" x14ac:dyDescent="0.3">
      <c r="A229" s="7" t="s">
        <v>540</v>
      </c>
      <c r="B229" s="7" t="s">
        <v>541</v>
      </c>
      <c r="C229" s="4">
        <v>1</v>
      </c>
      <c r="D229" s="4">
        <v>14.99</v>
      </c>
      <c r="E229" s="36">
        <f t="shared" si="4"/>
        <v>14.99</v>
      </c>
      <c r="F229" s="29" t="s">
        <v>542</v>
      </c>
    </row>
    <row r="230" spans="1:6" x14ac:dyDescent="0.3">
      <c r="A230" s="7" t="s">
        <v>543</v>
      </c>
      <c r="B230" s="7" t="s">
        <v>544</v>
      </c>
      <c r="C230" s="4">
        <v>2</v>
      </c>
      <c r="D230" s="4">
        <v>4.99</v>
      </c>
      <c r="E230" s="36">
        <f t="shared" si="4"/>
        <v>9.98</v>
      </c>
      <c r="F230" s="29" t="s">
        <v>545</v>
      </c>
    </row>
    <row r="231" spans="1:6" x14ac:dyDescent="0.3">
      <c r="A231" s="7" t="s">
        <v>546</v>
      </c>
      <c r="B231" s="7" t="s">
        <v>547</v>
      </c>
      <c r="C231" s="4">
        <v>4</v>
      </c>
      <c r="D231" s="4">
        <v>3.99</v>
      </c>
      <c r="E231" s="36">
        <f t="shared" si="4"/>
        <v>15.96</v>
      </c>
      <c r="F231" s="29" t="s">
        <v>548</v>
      </c>
    </row>
    <row r="232" spans="1:6" x14ac:dyDescent="0.3">
      <c r="A232" s="7" t="s">
        <v>549</v>
      </c>
      <c r="B232" s="7" t="s">
        <v>550</v>
      </c>
      <c r="C232" s="4">
        <v>6</v>
      </c>
      <c r="D232" s="4">
        <v>4.99</v>
      </c>
      <c r="E232" s="36">
        <f t="shared" si="4"/>
        <v>29.94</v>
      </c>
      <c r="F232" s="29" t="s">
        <v>551</v>
      </c>
    </row>
    <row r="233" spans="1:6" x14ac:dyDescent="0.3">
      <c r="A233" s="7" t="s">
        <v>552</v>
      </c>
      <c r="B233" s="7" t="s">
        <v>553</v>
      </c>
      <c r="C233" s="4">
        <v>6</v>
      </c>
      <c r="D233" s="4">
        <v>4.99</v>
      </c>
      <c r="E233" s="36">
        <f t="shared" si="4"/>
        <v>29.94</v>
      </c>
      <c r="F233" s="29" t="s">
        <v>554</v>
      </c>
    </row>
    <row r="234" spans="1:6" x14ac:dyDescent="0.3">
      <c r="A234" s="7" t="s">
        <v>555</v>
      </c>
      <c r="B234" s="7" t="s">
        <v>556</v>
      </c>
      <c r="C234" s="4">
        <v>4</v>
      </c>
      <c r="D234" s="4">
        <v>4.99</v>
      </c>
      <c r="E234" s="36">
        <f t="shared" si="4"/>
        <v>19.96</v>
      </c>
      <c r="F234" s="29" t="s">
        <v>557</v>
      </c>
    </row>
    <row r="235" spans="1:6" x14ac:dyDescent="0.3">
      <c r="A235" s="7" t="s">
        <v>558</v>
      </c>
      <c r="B235" s="7" t="s">
        <v>559</v>
      </c>
      <c r="C235" s="4">
        <v>2</v>
      </c>
      <c r="D235" s="4">
        <v>9.99</v>
      </c>
      <c r="E235" s="36">
        <f t="shared" si="4"/>
        <v>19.98</v>
      </c>
      <c r="F235" s="29" t="s">
        <v>560</v>
      </c>
    </row>
    <row r="236" spans="1:6" x14ac:dyDescent="0.3">
      <c r="A236" s="7" t="s">
        <v>561</v>
      </c>
      <c r="B236" s="39" t="s">
        <v>562</v>
      </c>
      <c r="C236" s="4">
        <v>2</v>
      </c>
      <c r="D236" s="4">
        <v>12.99</v>
      </c>
      <c r="E236" s="36">
        <f t="shared" si="4"/>
        <v>25.98</v>
      </c>
      <c r="F236" s="29" t="s">
        <v>563</v>
      </c>
    </row>
    <row r="237" spans="1:6" x14ac:dyDescent="0.3">
      <c r="A237" s="7" t="s">
        <v>564</v>
      </c>
      <c r="B237" s="39" t="s">
        <v>565</v>
      </c>
      <c r="C237" s="4">
        <v>12</v>
      </c>
      <c r="D237" s="4">
        <v>0.99</v>
      </c>
      <c r="E237" s="36">
        <f t="shared" si="4"/>
        <v>11.879999999999999</v>
      </c>
      <c r="F237" s="29" t="s">
        <v>566</v>
      </c>
    </row>
    <row r="238" spans="1:6" x14ac:dyDescent="0.3">
      <c r="A238" s="7" t="s">
        <v>567</v>
      </c>
      <c r="B238" s="7" t="s">
        <v>568</v>
      </c>
      <c r="C238" s="15">
        <v>1</v>
      </c>
      <c r="D238" s="4">
        <v>3.99</v>
      </c>
      <c r="E238" s="36">
        <f t="shared" si="4"/>
        <v>3.99</v>
      </c>
      <c r="F238" s="29" t="s">
        <v>569</v>
      </c>
    </row>
    <row r="239" spans="1:6" x14ac:dyDescent="0.3">
      <c r="A239" s="7" t="s">
        <v>570</v>
      </c>
      <c r="B239" s="7" t="s">
        <v>571</v>
      </c>
      <c r="C239" s="15">
        <v>1</v>
      </c>
      <c r="D239" s="4">
        <v>29.99</v>
      </c>
      <c r="E239" s="36">
        <f t="shared" si="4"/>
        <v>29.99</v>
      </c>
      <c r="F239" s="29" t="s">
        <v>572</v>
      </c>
    </row>
    <row r="240" spans="1:6" x14ac:dyDescent="0.3">
      <c r="A240" s="7" t="s">
        <v>424</v>
      </c>
      <c r="B240" s="7" t="s">
        <v>573</v>
      </c>
      <c r="C240" s="15">
        <v>1</v>
      </c>
      <c r="D240" s="4">
        <v>39.99</v>
      </c>
      <c r="E240" s="36">
        <f t="shared" si="4"/>
        <v>39.99</v>
      </c>
      <c r="F240" s="29" t="s">
        <v>426</v>
      </c>
    </row>
    <row r="241" spans="1:6" x14ac:dyDescent="0.3">
      <c r="A241" s="7" t="s">
        <v>574</v>
      </c>
      <c r="B241" s="7" t="s">
        <v>575</v>
      </c>
      <c r="C241" s="15">
        <v>3</v>
      </c>
      <c r="D241" s="4">
        <v>59.99</v>
      </c>
      <c r="E241" s="36">
        <f t="shared" si="4"/>
        <v>179.97</v>
      </c>
      <c r="F241" s="29" t="s">
        <v>576</v>
      </c>
    </row>
    <row r="242" spans="1:6" x14ac:dyDescent="0.3">
      <c r="A242" s="7" t="s">
        <v>577</v>
      </c>
      <c r="B242" s="7" t="s">
        <v>578</v>
      </c>
      <c r="C242" s="15">
        <v>2</v>
      </c>
      <c r="D242" s="4">
        <v>84.99</v>
      </c>
      <c r="E242" s="36">
        <f t="shared" si="4"/>
        <v>169.98</v>
      </c>
      <c r="F242" s="26" t="s">
        <v>579</v>
      </c>
    </row>
    <row r="243" spans="1:6" x14ac:dyDescent="0.3">
      <c r="A243" s="7" t="s">
        <v>580</v>
      </c>
      <c r="B243" s="7" t="s">
        <v>581</v>
      </c>
      <c r="C243" s="15">
        <v>1</v>
      </c>
      <c r="D243" s="4">
        <v>129</v>
      </c>
      <c r="E243" s="36">
        <f t="shared" si="4"/>
        <v>129</v>
      </c>
      <c r="F243" s="26" t="s">
        <v>582</v>
      </c>
    </row>
    <row r="244" spans="1:6" x14ac:dyDescent="0.3">
      <c r="A244" s="7" t="s">
        <v>583</v>
      </c>
      <c r="B244" s="7" t="s">
        <v>584</v>
      </c>
      <c r="C244" s="15">
        <v>1</v>
      </c>
      <c r="D244" s="4">
        <v>9.99</v>
      </c>
      <c r="E244" s="36">
        <f t="shared" si="4"/>
        <v>9.99</v>
      </c>
      <c r="F244" s="29" t="s">
        <v>585</v>
      </c>
    </row>
    <row r="245" spans="1:6" x14ac:dyDescent="0.3">
      <c r="A245" s="7" t="s">
        <v>586</v>
      </c>
      <c r="B245" s="7" t="s">
        <v>587</v>
      </c>
      <c r="C245" s="15">
        <v>5</v>
      </c>
      <c r="D245" s="4">
        <v>5.99</v>
      </c>
      <c r="E245" s="36">
        <f t="shared" si="4"/>
        <v>29.950000000000003</v>
      </c>
      <c r="F245" s="29" t="s">
        <v>588</v>
      </c>
    </row>
    <row r="246" spans="1:6" x14ac:dyDescent="0.3">
      <c r="A246" s="7" t="s">
        <v>589</v>
      </c>
      <c r="B246" s="7" t="s">
        <v>590</v>
      </c>
      <c r="C246" s="15">
        <v>1</v>
      </c>
      <c r="D246" s="4">
        <v>19.989999999999998</v>
      </c>
      <c r="E246" s="36">
        <f t="shared" si="4"/>
        <v>19.989999999999998</v>
      </c>
      <c r="F246" s="29" t="s">
        <v>591</v>
      </c>
    </row>
    <row r="247" spans="1:6" x14ac:dyDescent="0.3">
      <c r="A247" s="7" t="s">
        <v>592</v>
      </c>
      <c r="B247" s="7" t="s">
        <v>593</v>
      </c>
      <c r="C247" s="15">
        <v>5</v>
      </c>
      <c r="D247" s="4">
        <v>5.99</v>
      </c>
      <c r="E247" s="36">
        <f t="shared" si="4"/>
        <v>29.950000000000003</v>
      </c>
      <c r="F247" s="29" t="s">
        <v>594</v>
      </c>
    </row>
    <row r="248" spans="1:6" x14ac:dyDescent="0.3">
      <c r="A248" s="7" t="s">
        <v>595</v>
      </c>
      <c r="B248" s="7" t="s">
        <v>596</v>
      </c>
      <c r="C248" s="15">
        <v>2</v>
      </c>
      <c r="D248" s="4">
        <v>4.99</v>
      </c>
      <c r="E248" s="36">
        <f t="shared" si="4"/>
        <v>9.98</v>
      </c>
      <c r="F248" s="29" t="s">
        <v>597</v>
      </c>
    </row>
    <row r="249" spans="1:6" x14ac:dyDescent="0.3">
      <c r="A249" s="7" t="s">
        <v>598</v>
      </c>
      <c r="B249" s="7" t="s">
        <v>599</v>
      </c>
      <c r="C249" s="15">
        <v>1</v>
      </c>
      <c r="D249" s="4">
        <v>1</v>
      </c>
      <c r="E249" s="36">
        <f t="shared" si="4"/>
        <v>1</v>
      </c>
      <c r="F249" s="29" t="s">
        <v>600</v>
      </c>
    </row>
    <row r="250" spans="1:6" x14ac:dyDescent="0.3">
      <c r="A250" s="7" t="s">
        <v>601</v>
      </c>
      <c r="B250" s="7" t="s">
        <v>602</v>
      </c>
      <c r="C250" s="15">
        <v>1</v>
      </c>
      <c r="D250" s="4">
        <v>9.99</v>
      </c>
      <c r="E250" s="36">
        <f t="shared" si="4"/>
        <v>9.99</v>
      </c>
      <c r="F250" s="29" t="s">
        <v>603</v>
      </c>
    </row>
    <row r="251" spans="1:6" x14ac:dyDescent="0.3">
      <c r="A251" s="7" t="s">
        <v>604</v>
      </c>
      <c r="B251" s="7" t="s">
        <v>605</v>
      </c>
      <c r="C251" s="15">
        <v>1</v>
      </c>
      <c r="D251" s="4">
        <v>9.99</v>
      </c>
      <c r="E251" s="36">
        <f t="shared" si="4"/>
        <v>9.99</v>
      </c>
      <c r="F251" s="29" t="s">
        <v>606</v>
      </c>
    </row>
    <row r="252" spans="1:6" x14ac:dyDescent="0.3">
      <c r="A252" s="7" t="s">
        <v>607</v>
      </c>
      <c r="B252" s="7" t="s">
        <v>608</v>
      </c>
      <c r="C252" s="15">
        <v>1</v>
      </c>
      <c r="D252" s="4">
        <v>19.989999999999998</v>
      </c>
      <c r="E252" s="36">
        <f t="shared" si="4"/>
        <v>19.989999999999998</v>
      </c>
      <c r="F252" s="29" t="s">
        <v>609</v>
      </c>
    </row>
    <row r="253" spans="1:6" x14ac:dyDescent="0.3">
      <c r="A253" s="7" t="s">
        <v>610</v>
      </c>
      <c r="B253" s="7" t="s">
        <v>611</v>
      </c>
      <c r="C253" s="15">
        <v>1</v>
      </c>
      <c r="D253" s="43">
        <v>1.99</v>
      </c>
      <c r="E253" s="44">
        <f t="shared" si="4"/>
        <v>1.99</v>
      </c>
      <c r="F253" s="41" t="s">
        <v>612</v>
      </c>
    </row>
    <row r="254" spans="1:6" x14ac:dyDescent="0.3">
      <c r="A254" s="7" t="s">
        <v>613</v>
      </c>
      <c r="B254" s="7" t="s">
        <v>614</v>
      </c>
      <c r="C254" s="15">
        <v>2</v>
      </c>
      <c r="D254" s="15">
        <v>1.99</v>
      </c>
      <c r="E254" s="36">
        <f t="shared" si="4"/>
        <v>3.98</v>
      </c>
      <c r="F254" s="29" t="s">
        <v>615</v>
      </c>
    </row>
    <row r="255" spans="1:6" x14ac:dyDescent="0.3">
      <c r="A255" s="7" t="s">
        <v>616</v>
      </c>
      <c r="B255" s="7" t="s">
        <v>617</v>
      </c>
      <c r="C255" s="15">
        <v>6</v>
      </c>
      <c r="D255" s="15">
        <v>15.99</v>
      </c>
      <c r="E255" s="36">
        <f t="shared" si="4"/>
        <v>95.94</v>
      </c>
      <c r="F255" s="29" t="s">
        <v>618</v>
      </c>
    </row>
    <row r="256" spans="1:6" x14ac:dyDescent="0.3">
      <c r="A256" s="7" t="s">
        <v>619</v>
      </c>
      <c r="B256" s="7" t="s">
        <v>620</v>
      </c>
      <c r="C256" s="15">
        <v>2</v>
      </c>
      <c r="D256" s="15">
        <v>12.99</v>
      </c>
      <c r="E256" s="36">
        <f t="shared" si="4"/>
        <v>25.98</v>
      </c>
      <c r="F256" s="29" t="s">
        <v>621</v>
      </c>
    </row>
    <row r="257" spans="1:6" x14ac:dyDescent="0.3">
      <c r="A257" s="7" t="s">
        <v>622</v>
      </c>
      <c r="B257" s="7" t="s">
        <v>623</v>
      </c>
      <c r="C257" s="15">
        <v>5</v>
      </c>
      <c r="D257" s="15">
        <v>4.99</v>
      </c>
      <c r="E257" s="36">
        <f t="shared" si="4"/>
        <v>24.950000000000003</v>
      </c>
      <c r="F257" s="29" t="s">
        <v>624</v>
      </c>
    </row>
    <row r="258" spans="1:6" x14ac:dyDescent="0.3">
      <c r="A258" s="7" t="s">
        <v>625</v>
      </c>
      <c r="B258" s="7" t="s">
        <v>626</v>
      </c>
      <c r="C258" s="15">
        <v>2</v>
      </c>
      <c r="D258" s="15">
        <v>14.99</v>
      </c>
      <c r="E258" s="36">
        <f t="shared" si="4"/>
        <v>29.98</v>
      </c>
      <c r="F258" s="29" t="s">
        <v>627</v>
      </c>
    </row>
    <row r="259" spans="1:6" x14ac:dyDescent="0.3">
      <c r="A259" s="7" t="s">
        <v>628</v>
      </c>
      <c r="B259" s="7" t="s">
        <v>629</v>
      </c>
      <c r="C259" s="15">
        <v>1</v>
      </c>
      <c r="D259" s="15">
        <v>9.99</v>
      </c>
      <c r="E259" s="36">
        <f t="shared" si="4"/>
        <v>9.99</v>
      </c>
      <c r="F259" s="29" t="s">
        <v>630</v>
      </c>
    </row>
    <row r="260" spans="1:6" x14ac:dyDescent="0.3">
      <c r="A260" s="7" t="s">
        <v>631</v>
      </c>
      <c r="B260" s="7" t="s">
        <v>632</v>
      </c>
      <c r="C260" s="15">
        <v>22</v>
      </c>
      <c r="D260" s="15">
        <v>0.99</v>
      </c>
      <c r="E260" s="36">
        <f t="shared" si="4"/>
        <v>21.78</v>
      </c>
      <c r="F260" s="29" t="s">
        <v>633</v>
      </c>
    </row>
    <row r="261" spans="1:6" x14ac:dyDescent="0.3">
      <c r="A261" s="7" t="s">
        <v>634</v>
      </c>
      <c r="B261" s="7" t="s">
        <v>635</v>
      </c>
      <c r="C261" s="15">
        <v>5</v>
      </c>
      <c r="D261" s="15">
        <v>2.99</v>
      </c>
      <c r="E261" s="36">
        <f t="shared" si="4"/>
        <v>14.950000000000001</v>
      </c>
      <c r="F261" s="29" t="s">
        <v>636</v>
      </c>
    </row>
    <row r="262" spans="1:6" x14ac:dyDescent="0.3">
      <c r="A262" s="7" t="s">
        <v>637</v>
      </c>
      <c r="B262" s="7" t="s">
        <v>638</v>
      </c>
      <c r="C262" s="15">
        <v>2</v>
      </c>
      <c r="D262" s="15">
        <v>1.49</v>
      </c>
      <c r="E262" s="36">
        <f t="shared" si="4"/>
        <v>2.98</v>
      </c>
      <c r="F262" s="29" t="s">
        <v>639</v>
      </c>
    </row>
    <row r="263" spans="1:6" x14ac:dyDescent="0.3">
      <c r="A263" s="7" t="s">
        <v>640</v>
      </c>
      <c r="B263" s="7" t="s">
        <v>641</v>
      </c>
      <c r="C263" s="15">
        <v>1</v>
      </c>
      <c r="D263" s="15">
        <v>9.99</v>
      </c>
      <c r="E263" s="36">
        <f t="shared" si="4"/>
        <v>9.99</v>
      </c>
      <c r="F263" s="29" t="s">
        <v>642</v>
      </c>
    </row>
    <row r="264" spans="1:6" x14ac:dyDescent="0.3">
      <c r="A264" s="7" t="s">
        <v>643</v>
      </c>
      <c r="B264" s="7" t="s">
        <v>644</v>
      </c>
      <c r="C264" s="15">
        <v>3</v>
      </c>
      <c r="D264" s="15">
        <v>4.99</v>
      </c>
      <c r="E264" s="36">
        <f t="shared" si="4"/>
        <v>14.97</v>
      </c>
      <c r="F264" s="29" t="s">
        <v>645</v>
      </c>
    </row>
    <row r="265" spans="1:6" x14ac:dyDescent="0.3">
      <c r="A265" s="7" t="s">
        <v>646</v>
      </c>
      <c r="B265" s="7" t="s">
        <v>647</v>
      </c>
      <c r="C265" s="15">
        <v>4</v>
      </c>
      <c r="D265" s="15">
        <v>1.99</v>
      </c>
      <c r="E265" s="36">
        <f t="shared" si="4"/>
        <v>7.96</v>
      </c>
      <c r="F265" s="29" t="s">
        <v>648</v>
      </c>
    </row>
    <row r="266" spans="1:6" x14ac:dyDescent="0.3">
      <c r="A266" s="7" t="s">
        <v>649</v>
      </c>
      <c r="B266" s="7" t="s">
        <v>650</v>
      </c>
      <c r="C266" s="15">
        <v>2</v>
      </c>
      <c r="D266" s="15">
        <v>3.49</v>
      </c>
      <c r="E266" s="36">
        <f t="shared" si="4"/>
        <v>6.98</v>
      </c>
      <c r="F266" s="29" t="s">
        <v>651</v>
      </c>
    </row>
    <row r="267" spans="1:6" x14ac:dyDescent="0.3">
      <c r="A267" s="7" t="s">
        <v>652</v>
      </c>
      <c r="B267" s="7" t="s">
        <v>653</v>
      </c>
      <c r="C267" s="15">
        <v>1</v>
      </c>
      <c r="D267" s="15">
        <v>39.49</v>
      </c>
      <c r="E267" s="36">
        <f t="shared" si="4"/>
        <v>39.49</v>
      </c>
      <c r="F267" s="29" t="s">
        <v>654</v>
      </c>
    </row>
    <row r="268" spans="1:6" x14ac:dyDescent="0.3">
      <c r="A268" s="7" t="s">
        <v>655</v>
      </c>
      <c r="B268" s="7" t="s">
        <v>656</v>
      </c>
      <c r="C268" s="15">
        <v>1</v>
      </c>
      <c r="D268" s="15">
        <v>4.5</v>
      </c>
      <c r="E268" s="36">
        <f t="shared" si="4"/>
        <v>4.5</v>
      </c>
      <c r="F268" s="29" t="s">
        <v>657</v>
      </c>
    </row>
    <row r="269" spans="1:6" x14ac:dyDescent="0.3">
      <c r="A269" s="7" t="s">
        <v>658</v>
      </c>
      <c r="B269" s="7" t="s">
        <v>659</v>
      </c>
      <c r="C269" s="15">
        <v>1</v>
      </c>
      <c r="D269" s="15">
        <v>34.99</v>
      </c>
      <c r="E269" s="36">
        <f t="shared" si="4"/>
        <v>34.99</v>
      </c>
      <c r="F269" s="29" t="s">
        <v>660</v>
      </c>
    </row>
    <row r="270" spans="1:6" x14ac:dyDescent="0.3">
      <c r="A270" s="7" t="s">
        <v>661</v>
      </c>
      <c r="B270" s="7" t="s">
        <v>662</v>
      </c>
      <c r="C270" s="15">
        <v>4</v>
      </c>
      <c r="D270" s="15">
        <v>1.99</v>
      </c>
      <c r="E270" s="36">
        <f t="shared" si="4"/>
        <v>7.96</v>
      </c>
      <c r="F270" s="29" t="s">
        <v>663</v>
      </c>
    </row>
    <row r="271" spans="1:6" x14ac:dyDescent="0.3">
      <c r="A271" s="7" t="s">
        <v>664</v>
      </c>
      <c r="B271" s="7" t="s">
        <v>665</v>
      </c>
      <c r="C271" s="15">
        <v>2</v>
      </c>
      <c r="D271" s="15">
        <v>16.989999999999998</v>
      </c>
      <c r="E271" s="36">
        <f t="shared" si="4"/>
        <v>33.979999999999997</v>
      </c>
      <c r="F271" s="29" t="s">
        <v>666</v>
      </c>
    </row>
    <row r="272" spans="1:6" x14ac:dyDescent="0.3">
      <c r="A272" s="7" t="s">
        <v>667</v>
      </c>
      <c r="B272" s="7" t="s">
        <v>668</v>
      </c>
      <c r="C272" s="15">
        <v>4</v>
      </c>
      <c r="D272" s="15">
        <v>2.99</v>
      </c>
      <c r="E272" s="36">
        <f t="shared" si="4"/>
        <v>11.96</v>
      </c>
      <c r="F272" s="29" t="s">
        <v>669</v>
      </c>
    </row>
    <row r="273" spans="1:6" x14ac:dyDescent="0.3">
      <c r="A273" s="7" t="s">
        <v>670</v>
      </c>
      <c r="B273" s="7" t="s">
        <v>671</v>
      </c>
      <c r="C273" s="15">
        <v>4</v>
      </c>
      <c r="D273" s="15">
        <v>4.99</v>
      </c>
      <c r="E273" s="36">
        <f t="shared" si="4"/>
        <v>19.96</v>
      </c>
      <c r="F273" s="29" t="s">
        <v>672</v>
      </c>
    </row>
    <row r="274" spans="1:6" x14ac:dyDescent="0.3">
      <c r="A274" s="7" t="s">
        <v>673</v>
      </c>
      <c r="B274" s="7" t="s">
        <v>674</v>
      </c>
      <c r="C274" s="15">
        <v>2</v>
      </c>
      <c r="D274" s="15">
        <v>19.989999999999998</v>
      </c>
      <c r="E274" s="36">
        <f t="shared" si="4"/>
        <v>39.979999999999997</v>
      </c>
      <c r="F274" s="29" t="s">
        <v>675</v>
      </c>
    </row>
    <row r="275" spans="1:6" x14ac:dyDescent="0.3">
      <c r="A275" s="7" t="s">
        <v>676</v>
      </c>
      <c r="B275" s="7" t="s">
        <v>677</v>
      </c>
      <c r="C275" s="15">
        <v>4</v>
      </c>
      <c r="D275" s="15">
        <v>19.989999999999998</v>
      </c>
      <c r="E275" s="36">
        <f t="shared" si="4"/>
        <v>79.959999999999994</v>
      </c>
      <c r="F275" s="29" t="s">
        <v>678</v>
      </c>
    </row>
    <row r="276" spans="1:6" x14ac:dyDescent="0.3">
      <c r="A276" s="7" t="s">
        <v>679</v>
      </c>
      <c r="B276" s="7" t="s">
        <v>680</v>
      </c>
      <c r="C276" s="15">
        <v>5</v>
      </c>
      <c r="D276" s="15">
        <v>19.989999999999998</v>
      </c>
      <c r="E276" s="36">
        <f t="shared" si="4"/>
        <v>99.949999999999989</v>
      </c>
      <c r="F276" s="29" t="s">
        <v>681</v>
      </c>
    </row>
    <row r="277" spans="1:6" x14ac:dyDescent="0.3">
      <c r="A277" s="7" t="s">
        <v>682</v>
      </c>
      <c r="B277" s="7" t="s">
        <v>683</v>
      </c>
      <c r="C277" s="15">
        <v>3</v>
      </c>
      <c r="D277" s="15">
        <v>49.99</v>
      </c>
      <c r="E277" s="36">
        <f t="shared" si="4"/>
        <v>149.97</v>
      </c>
      <c r="F277" s="29" t="s">
        <v>210</v>
      </c>
    </row>
    <row r="278" spans="1:6" x14ac:dyDescent="0.3">
      <c r="A278" s="7" t="s">
        <v>684</v>
      </c>
      <c r="B278" s="7" t="s">
        <v>685</v>
      </c>
      <c r="C278" s="15">
        <v>1</v>
      </c>
      <c r="D278" s="15">
        <v>12.99</v>
      </c>
      <c r="E278" s="36">
        <f t="shared" si="4"/>
        <v>12.99</v>
      </c>
      <c r="F278" s="29" t="s">
        <v>686</v>
      </c>
    </row>
    <row r="279" spans="1:6" x14ac:dyDescent="0.3">
      <c r="A279" s="7" t="s">
        <v>687</v>
      </c>
      <c r="B279" s="7" t="s">
        <v>688</v>
      </c>
      <c r="C279" s="15">
        <v>2</v>
      </c>
      <c r="D279" s="15">
        <v>24.99</v>
      </c>
      <c r="E279" s="36">
        <f t="shared" si="4"/>
        <v>49.98</v>
      </c>
      <c r="F279" s="29" t="s">
        <v>689</v>
      </c>
    </row>
    <row r="280" spans="1:6" x14ac:dyDescent="0.3">
      <c r="A280" s="7" t="s">
        <v>690</v>
      </c>
      <c r="B280" s="7" t="s">
        <v>691</v>
      </c>
      <c r="C280" s="15">
        <v>4</v>
      </c>
      <c r="D280" s="15">
        <v>6.99</v>
      </c>
      <c r="E280" s="36">
        <f t="shared" si="4"/>
        <v>27.96</v>
      </c>
      <c r="F280" s="29" t="s">
        <v>692</v>
      </c>
    </row>
    <row r="281" spans="1:6" x14ac:dyDescent="0.3">
      <c r="A281" s="7" t="s">
        <v>693</v>
      </c>
      <c r="B281" s="7" t="s">
        <v>694</v>
      </c>
      <c r="C281" s="15">
        <v>1</v>
      </c>
      <c r="D281" s="15">
        <v>4.99</v>
      </c>
      <c r="E281" s="36">
        <f t="shared" si="4"/>
        <v>4.99</v>
      </c>
      <c r="F281" s="29" t="s">
        <v>695</v>
      </c>
    </row>
    <row r="282" spans="1:6" x14ac:dyDescent="0.3">
      <c r="A282" s="7" t="s">
        <v>696</v>
      </c>
      <c r="B282" s="7" t="s">
        <v>697</v>
      </c>
      <c r="C282" s="15">
        <v>5</v>
      </c>
      <c r="D282" s="15">
        <v>1.49</v>
      </c>
      <c r="E282" s="36">
        <f t="shared" si="4"/>
        <v>7.45</v>
      </c>
      <c r="F282" s="29" t="s">
        <v>698</v>
      </c>
    </row>
    <row r="283" spans="1:6" x14ac:dyDescent="0.3">
      <c r="A283" s="7" t="s">
        <v>699</v>
      </c>
      <c r="B283" s="7" t="s">
        <v>700</v>
      </c>
      <c r="C283" s="15">
        <v>3</v>
      </c>
      <c r="D283" s="15">
        <v>4.99</v>
      </c>
      <c r="E283" s="36">
        <f t="shared" si="4"/>
        <v>14.97</v>
      </c>
      <c r="F283" s="29" t="s">
        <v>701</v>
      </c>
    </row>
    <row r="284" spans="1:6" x14ac:dyDescent="0.3">
      <c r="A284" s="7" t="s">
        <v>702</v>
      </c>
      <c r="B284" s="7" t="s">
        <v>703</v>
      </c>
      <c r="C284" s="15">
        <v>2</v>
      </c>
      <c r="D284" s="15">
        <v>14.99</v>
      </c>
      <c r="E284" s="36">
        <f t="shared" si="4"/>
        <v>29.98</v>
      </c>
      <c r="F284" s="29" t="s">
        <v>704</v>
      </c>
    </row>
    <row r="285" spans="1:6" x14ac:dyDescent="0.3">
      <c r="A285" s="7" t="s">
        <v>705</v>
      </c>
      <c r="B285" s="7" t="s">
        <v>706</v>
      </c>
      <c r="C285" s="15">
        <v>3</v>
      </c>
      <c r="D285" s="15">
        <v>19.989999999999998</v>
      </c>
      <c r="E285" s="36">
        <f t="shared" si="4"/>
        <v>59.97</v>
      </c>
      <c r="F285" s="29" t="s">
        <v>707</v>
      </c>
    </row>
    <row r="286" spans="1:6" x14ac:dyDescent="0.3">
      <c r="A286" s="7" t="s">
        <v>708</v>
      </c>
      <c r="B286" s="7" t="s">
        <v>709</v>
      </c>
      <c r="C286" s="15">
        <v>3</v>
      </c>
      <c r="D286" s="15">
        <v>9.99</v>
      </c>
      <c r="E286" s="36">
        <f t="shared" si="4"/>
        <v>29.97</v>
      </c>
      <c r="F286" s="29" t="s">
        <v>710</v>
      </c>
    </row>
    <row r="287" spans="1:6" x14ac:dyDescent="0.3">
      <c r="A287" s="7" t="s">
        <v>711</v>
      </c>
      <c r="B287" s="7" t="s">
        <v>712</v>
      </c>
      <c r="C287" s="15">
        <v>6</v>
      </c>
      <c r="D287" s="15">
        <v>4.99</v>
      </c>
      <c r="E287" s="36">
        <f t="shared" si="4"/>
        <v>29.94</v>
      </c>
      <c r="F287" s="29" t="s">
        <v>713</v>
      </c>
    </row>
    <row r="288" spans="1:6" x14ac:dyDescent="0.3">
      <c r="A288" s="7" t="s">
        <v>714</v>
      </c>
      <c r="B288" s="7" t="s">
        <v>715</v>
      </c>
      <c r="C288" s="15">
        <v>4</v>
      </c>
      <c r="D288" s="15">
        <v>19.989999999999998</v>
      </c>
      <c r="E288" s="36">
        <f t="shared" si="4"/>
        <v>79.959999999999994</v>
      </c>
      <c r="F288" s="29" t="s">
        <v>716</v>
      </c>
    </row>
    <row r="289" spans="1:6" x14ac:dyDescent="0.3">
      <c r="A289" s="7" t="s">
        <v>717</v>
      </c>
      <c r="B289" s="7" t="s">
        <v>718</v>
      </c>
      <c r="C289" s="15">
        <v>3</v>
      </c>
      <c r="D289" s="15">
        <v>5.99</v>
      </c>
      <c r="E289" s="36">
        <f t="shared" si="4"/>
        <v>17.97</v>
      </c>
      <c r="F289" s="29" t="s">
        <v>719</v>
      </c>
    </row>
    <row r="290" spans="1:6" x14ac:dyDescent="0.3">
      <c r="A290" s="7" t="s">
        <v>720</v>
      </c>
      <c r="B290" s="7" t="s">
        <v>721</v>
      </c>
      <c r="C290" s="15">
        <v>1</v>
      </c>
      <c r="D290" s="15">
        <v>12.99</v>
      </c>
      <c r="E290" s="36">
        <f t="shared" si="4"/>
        <v>12.99</v>
      </c>
      <c r="F290" s="29" t="s">
        <v>722</v>
      </c>
    </row>
    <row r="291" spans="1:6" x14ac:dyDescent="0.3">
      <c r="A291" s="7" t="s">
        <v>723</v>
      </c>
      <c r="B291" s="7" t="s">
        <v>724</v>
      </c>
      <c r="C291" s="15">
        <v>2</v>
      </c>
      <c r="D291" s="15">
        <v>19.989999999999998</v>
      </c>
      <c r="E291" s="36">
        <f t="shared" si="4"/>
        <v>39.979999999999997</v>
      </c>
      <c r="F291" s="29" t="s">
        <v>725</v>
      </c>
    </row>
    <row r="292" spans="1:6" x14ac:dyDescent="0.3">
      <c r="A292" s="7" t="s">
        <v>726</v>
      </c>
      <c r="B292" s="7" t="s">
        <v>727</v>
      </c>
      <c r="C292" s="15">
        <v>1</v>
      </c>
      <c r="D292" s="15">
        <v>79.989999999999995</v>
      </c>
      <c r="E292" s="36">
        <f t="shared" si="4"/>
        <v>79.989999999999995</v>
      </c>
      <c r="F292" s="29" t="s">
        <v>728</v>
      </c>
    </row>
    <row r="293" spans="1:6" x14ac:dyDescent="0.3">
      <c r="A293" s="7" t="s">
        <v>729</v>
      </c>
      <c r="B293" s="7" t="s">
        <v>730</v>
      </c>
      <c r="C293" s="15">
        <v>2</v>
      </c>
      <c r="D293" s="15">
        <v>1.99</v>
      </c>
      <c r="E293" s="36">
        <f t="shared" si="4"/>
        <v>3.98</v>
      </c>
      <c r="F293" s="29" t="s">
        <v>731</v>
      </c>
    </row>
    <row r="294" spans="1:6" x14ac:dyDescent="0.3">
      <c r="A294" s="7" t="s">
        <v>732</v>
      </c>
      <c r="B294" s="7" t="s">
        <v>733</v>
      </c>
      <c r="C294" s="15">
        <v>2</v>
      </c>
      <c r="D294" s="15">
        <v>2.99</v>
      </c>
      <c r="E294" s="36">
        <f t="shared" si="4"/>
        <v>5.98</v>
      </c>
      <c r="F294" s="29" t="s">
        <v>734</v>
      </c>
    </row>
    <row r="295" spans="1:6" x14ac:dyDescent="0.3">
      <c r="A295" s="7" t="s">
        <v>735</v>
      </c>
      <c r="B295" s="7" t="s">
        <v>736</v>
      </c>
      <c r="C295" s="15">
        <v>3</v>
      </c>
      <c r="D295" s="15">
        <v>1.99</v>
      </c>
      <c r="E295" s="36">
        <f t="shared" si="4"/>
        <v>5.97</v>
      </c>
      <c r="F295" s="29" t="s">
        <v>210</v>
      </c>
    </row>
    <row r="296" spans="1:6" x14ac:dyDescent="0.3">
      <c r="A296" s="7" t="s">
        <v>737</v>
      </c>
      <c r="B296" s="7" t="s">
        <v>738</v>
      </c>
      <c r="C296" s="15">
        <v>4</v>
      </c>
      <c r="D296" s="15">
        <v>5.99</v>
      </c>
      <c r="E296" s="36">
        <f t="shared" si="4"/>
        <v>23.96</v>
      </c>
      <c r="F296" s="29" t="s">
        <v>739</v>
      </c>
    </row>
    <row r="297" spans="1:6" x14ac:dyDescent="0.3">
      <c r="A297" s="7" t="s">
        <v>740</v>
      </c>
      <c r="B297" s="7" t="s">
        <v>741</v>
      </c>
      <c r="C297" s="15">
        <v>1</v>
      </c>
      <c r="D297" s="15">
        <v>9.99</v>
      </c>
      <c r="E297" s="36">
        <f t="shared" si="4"/>
        <v>9.99</v>
      </c>
      <c r="F297" s="29" t="s">
        <v>742</v>
      </c>
    </row>
    <row r="298" spans="1:6" x14ac:dyDescent="0.3">
      <c r="A298" s="7" t="s">
        <v>743</v>
      </c>
      <c r="B298" s="7" t="s">
        <v>744</v>
      </c>
      <c r="C298" s="15">
        <v>2</v>
      </c>
      <c r="D298" s="15">
        <v>14.99</v>
      </c>
      <c r="E298" s="36">
        <f t="shared" si="4"/>
        <v>29.98</v>
      </c>
      <c r="F298" s="29" t="s">
        <v>745</v>
      </c>
    </row>
    <row r="299" spans="1:6" x14ac:dyDescent="0.3">
      <c r="A299" s="7" t="s">
        <v>746</v>
      </c>
      <c r="B299" s="7" t="s">
        <v>747</v>
      </c>
      <c r="C299" s="15">
        <v>1</v>
      </c>
      <c r="D299" s="15">
        <v>16.989999999999998</v>
      </c>
      <c r="E299" s="36">
        <f t="shared" si="4"/>
        <v>16.989999999999998</v>
      </c>
      <c r="F299" s="29" t="s">
        <v>748</v>
      </c>
    </row>
    <row r="300" spans="1:6" x14ac:dyDescent="0.3">
      <c r="A300" s="7" t="s">
        <v>749</v>
      </c>
      <c r="B300" s="7" t="s">
        <v>750</v>
      </c>
      <c r="C300" s="15">
        <v>3</v>
      </c>
      <c r="D300" s="15">
        <v>4.99</v>
      </c>
      <c r="E300" s="36">
        <f t="shared" si="4"/>
        <v>14.97</v>
      </c>
      <c r="F300" s="29" t="s">
        <v>751</v>
      </c>
    </row>
    <row r="301" spans="1:6" x14ac:dyDescent="0.3">
      <c r="A301" s="7" t="s">
        <v>752</v>
      </c>
      <c r="B301" s="7" t="s">
        <v>753</v>
      </c>
      <c r="C301" s="15">
        <v>2</v>
      </c>
      <c r="D301" s="15">
        <v>3.99</v>
      </c>
      <c r="E301" s="36">
        <f t="shared" si="4"/>
        <v>7.98</v>
      </c>
      <c r="F301" s="29" t="s">
        <v>754</v>
      </c>
    </row>
    <row r="302" spans="1:6" x14ac:dyDescent="0.3">
      <c r="A302" s="7" t="s">
        <v>755</v>
      </c>
      <c r="B302" s="7" t="s">
        <v>756</v>
      </c>
      <c r="C302" s="15">
        <v>2</v>
      </c>
      <c r="D302" s="15">
        <v>2.99</v>
      </c>
      <c r="E302" s="36">
        <f t="shared" si="4"/>
        <v>5.98</v>
      </c>
      <c r="F302" s="29" t="s">
        <v>757</v>
      </c>
    </row>
    <row r="303" spans="1:6" x14ac:dyDescent="0.3">
      <c r="A303" s="7" t="s">
        <v>758</v>
      </c>
      <c r="B303" s="7" t="s">
        <v>759</v>
      </c>
      <c r="C303" s="15">
        <v>3</v>
      </c>
      <c r="D303" s="15">
        <v>6.99</v>
      </c>
      <c r="E303" s="36">
        <f t="shared" si="4"/>
        <v>20.97</v>
      </c>
      <c r="F303" s="29" t="s">
        <v>210</v>
      </c>
    </row>
    <row r="304" spans="1:6" x14ac:dyDescent="0.3">
      <c r="A304" s="7" t="s">
        <v>760</v>
      </c>
      <c r="B304" s="7" t="s">
        <v>761</v>
      </c>
      <c r="C304" s="15">
        <v>3</v>
      </c>
      <c r="D304" s="15">
        <v>2.99</v>
      </c>
      <c r="E304" s="36">
        <f t="shared" si="4"/>
        <v>8.9700000000000006</v>
      </c>
      <c r="F304" s="29" t="s">
        <v>762</v>
      </c>
    </row>
    <row r="305" spans="1:6" x14ac:dyDescent="0.3">
      <c r="A305" s="7" t="s">
        <v>763</v>
      </c>
      <c r="B305" s="7" t="s">
        <v>764</v>
      </c>
      <c r="C305" s="15">
        <v>1</v>
      </c>
      <c r="D305" s="15">
        <v>49.99</v>
      </c>
      <c r="E305" s="36">
        <f t="shared" si="4"/>
        <v>49.99</v>
      </c>
      <c r="F305" s="29" t="s">
        <v>765</v>
      </c>
    </row>
    <row r="306" spans="1:6" x14ac:dyDescent="0.3">
      <c r="A306" s="7" t="s">
        <v>766</v>
      </c>
      <c r="B306" s="7" t="s">
        <v>767</v>
      </c>
      <c r="C306" s="15">
        <v>3</v>
      </c>
      <c r="D306" s="15">
        <v>3.99</v>
      </c>
      <c r="E306" s="36">
        <f t="shared" si="4"/>
        <v>11.97</v>
      </c>
      <c r="F306" s="29" t="s">
        <v>768</v>
      </c>
    </row>
    <row r="307" spans="1:6" x14ac:dyDescent="0.3">
      <c r="A307" s="7" t="s">
        <v>769</v>
      </c>
      <c r="B307" s="7" t="s">
        <v>770</v>
      </c>
      <c r="C307" s="15">
        <v>2</v>
      </c>
      <c r="D307" s="15">
        <v>7.99</v>
      </c>
      <c r="E307" s="36">
        <f t="shared" si="4"/>
        <v>15.98</v>
      </c>
      <c r="F307" s="29" t="s">
        <v>771</v>
      </c>
    </row>
    <row r="308" spans="1:6" x14ac:dyDescent="0.3">
      <c r="B308" s="16" t="s">
        <v>893</v>
      </c>
      <c r="C308" s="15">
        <v>4</v>
      </c>
      <c r="D308" s="9">
        <v>12.99</v>
      </c>
      <c r="E308" s="9">
        <f t="shared" ref="E308:E318" si="5">C308*D308</f>
        <v>51.96</v>
      </c>
      <c r="F308" s="29"/>
    </row>
    <row r="309" spans="1:6" x14ac:dyDescent="0.3">
      <c r="B309" s="7" t="s">
        <v>894</v>
      </c>
      <c r="C309" s="15">
        <v>1</v>
      </c>
      <c r="D309" s="9">
        <v>9.99</v>
      </c>
      <c r="E309" s="9">
        <f t="shared" si="5"/>
        <v>9.99</v>
      </c>
      <c r="F309" s="29"/>
    </row>
    <row r="310" spans="1:6" x14ac:dyDescent="0.3">
      <c r="B310" s="16" t="s">
        <v>895</v>
      </c>
      <c r="C310" s="15">
        <v>4</v>
      </c>
      <c r="D310" s="9">
        <v>6.99</v>
      </c>
      <c r="E310" s="9">
        <f t="shared" si="5"/>
        <v>27.96</v>
      </c>
      <c r="F310" s="29"/>
    </row>
    <row r="311" spans="1:6" x14ac:dyDescent="0.3">
      <c r="B311" s="7" t="s">
        <v>896</v>
      </c>
      <c r="C311" s="15">
        <v>1</v>
      </c>
      <c r="D311" s="9">
        <v>3.99</v>
      </c>
      <c r="E311" s="9">
        <f t="shared" si="5"/>
        <v>3.99</v>
      </c>
      <c r="F311" s="29"/>
    </row>
    <row r="312" spans="1:6" x14ac:dyDescent="0.3">
      <c r="B312" s="7" t="s">
        <v>897</v>
      </c>
      <c r="C312" s="15">
        <v>2</v>
      </c>
      <c r="D312" s="9">
        <v>4.99</v>
      </c>
      <c r="E312" s="9">
        <f t="shared" si="5"/>
        <v>9.98</v>
      </c>
      <c r="F312" s="29"/>
    </row>
    <row r="313" spans="1:6" x14ac:dyDescent="0.3">
      <c r="B313" s="7" t="s">
        <v>898</v>
      </c>
      <c r="C313" s="15">
        <v>1</v>
      </c>
      <c r="D313" s="9">
        <v>2.4900000000000002</v>
      </c>
      <c r="E313" s="9">
        <f t="shared" si="5"/>
        <v>2.4900000000000002</v>
      </c>
      <c r="F313" s="29"/>
    </row>
    <row r="314" spans="1:6" x14ac:dyDescent="0.3">
      <c r="B314" s="7" t="s">
        <v>899</v>
      </c>
      <c r="C314" s="15">
        <v>1</v>
      </c>
      <c r="D314" s="9">
        <v>14.99</v>
      </c>
      <c r="E314" s="9">
        <f t="shared" si="5"/>
        <v>14.99</v>
      </c>
      <c r="F314" s="29"/>
    </row>
    <row r="315" spans="1:6" x14ac:dyDescent="0.3">
      <c r="B315" s="7" t="s">
        <v>900</v>
      </c>
      <c r="C315" s="15">
        <v>4</v>
      </c>
      <c r="D315" s="9">
        <v>1.49</v>
      </c>
      <c r="E315" s="9">
        <f t="shared" si="5"/>
        <v>5.96</v>
      </c>
      <c r="F315" s="29"/>
    </row>
    <row r="316" spans="1:6" x14ac:dyDescent="0.3">
      <c r="B316" s="7" t="s">
        <v>901</v>
      </c>
      <c r="C316" s="15">
        <v>2</v>
      </c>
      <c r="D316" s="9">
        <v>2</v>
      </c>
      <c r="E316" s="9">
        <f t="shared" si="5"/>
        <v>4</v>
      </c>
      <c r="F316" s="29"/>
    </row>
    <row r="317" spans="1:6" x14ac:dyDescent="0.3">
      <c r="B317" s="7" t="s">
        <v>902</v>
      </c>
      <c r="C317" s="15">
        <v>4</v>
      </c>
      <c r="D317" s="9">
        <v>4</v>
      </c>
      <c r="E317" s="9">
        <f t="shared" si="5"/>
        <v>16</v>
      </c>
      <c r="F317" s="29"/>
    </row>
    <row r="318" spans="1:6" x14ac:dyDescent="0.3">
      <c r="B318" s="7" t="s">
        <v>903</v>
      </c>
      <c r="C318" s="15">
        <v>2</v>
      </c>
      <c r="D318" s="9">
        <v>2</v>
      </c>
      <c r="E318" s="9">
        <f t="shared" si="5"/>
        <v>4</v>
      </c>
      <c r="F318" s="29"/>
    </row>
    <row r="319" spans="1:6" x14ac:dyDescent="0.3">
      <c r="A319" s="54"/>
      <c r="C319" s="1"/>
      <c r="E319" s="49">
        <f>SUM(E110:E307)</f>
        <v>8769.8899999999703</v>
      </c>
      <c r="F319" s="41"/>
    </row>
    <row r="320" spans="1:6" x14ac:dyDescent="0.3">
      <c r="C320" s="1"/>
      <c r="E320" s="40"/>
      <c r="F320" s="41"/>
    </row>
    <row r="321" spans="1:6" x14ac:dyDescent="0.3">
      <c r="C321" s="1"/>
    </row>
    <row r="322" spans="1:6" x14ac:dyDescent="0.3">
      <c r="B322" s="25" t="s">
        <v>772</v>
      </c>
      <c r="C322" s="25" t="s">
        <v>1</v>
      </c>
      <c r="D322" s="25" t="s">
        <v>2</v>
      </c>
      <c r="E322" s="6" t="s">
        <v>3</v>
      </c>
    </row>
    <row r="323" spans="1:6" x14ac:dyDescent="0.3">
      <c r="A323" s="27">
        <v>81983711</v>
      </c>
      <c r="B323" s="7" t="s">
        <v>773</v>
      </c>
      <c r="C323" s="4">
        <v>1</v>
      </c>
      <c r="D323" s="4">
        <v>4.2</v>
      </c>
      <c r="E323" s="15">
        <f t="shared" ref="E323:E347" si="6">C323*D323</f>
        <v>4.2</v>
      </c>
      <c r="F323" s="26" t="s">
        <v>774</v>
      </c>
    </row>
    <row r="324" spans="1:6" x14ac:dyDescent="0.3">
      <c r="A324" s="27">
        <v>17691002</v>
      </c>
      <c r="B324" s="7" t="s">
        <v>775</v>
      </c>
      <c r="C324" s="4">
        <v>1</v>
      </c>
      <c r="D324" s="4">
        <v>5.99</v>
      </c>
      <c r="E324" s="15">
        <f t="shared" si="6"/>
        <v>5.99</v>
      </c>
      <c r="F324" s="26" t="s">
        <v>776</v>
      </c>
    </row>
    <row r="325" spans="1:6" x14ac:dyDescent="0.3">
      <c r="A325" s="27">
        <v>82497460</v>
      </c>
      <c r="B325" s="7" t="s">
        <v>777</v>
      </c>
      <c r="C325" s="4">
        <v>8</v>
      </c>
      <c r="D325" s="4">
        <v>5.99</v>
      </c>
      <c r="E325" s="15">
        <f t="shared" si="6"/>
        <v>47.92</v>
      </c>
      <c r="F325" s="26" t="s">
        <v>778</v>
      </c>
    </row>
    <row r="326" spans="1:6" x14ac:dyDescent="0.3">
      <c r="A326" s="27">
        <v>82491402</v>
      </c>
      <c r="B326" s="7" t="s">
        <v>779</v>
      </c>
      <c r="C326" s="4">
        <v>1</v>
      </c>
      <c r="D326" s="4">
        <v>22.99</v>
      </c>
      <c r="E326" s="15">
        <f t="shared" si="6"/>
        <v>22.99</v>
      </c>
      <c r="F326" s="29" t="s">
        <v>780</v>
      </c>
    </row>
    <row r="327" spans="1:6" x14ac:dyDescent="0.3">
      <c r="A327" s="27">
        <v>84407270</v>
      </c>
      <c r="B327" s="7" t="s">
        <v>781</v>
      </c>
      <c r="C327" s="4">
        <v>1</v>
      </c>
      <c r="D327" s="4">
        <v>9.99</v>
      </c>
      <c r="E327" s="15">
        <f t="shared" si="6"/>
        <v>9.99</v>
      </c>
      <c r="F327" s="26" t="s">
        <v>782</v>
      </c>
    </row>
    <row r="328" spans="1:6" x14ac:dyDescent="0.3">
      <c r="A328" s="27">
        <v>82551232</v>
      </c>
      <c r="B328" s="7" t="s">
        <v>783</v>
      </c>
      <c r="C328" s="4">
        <v>2</v>
      </c>
      <c r="D328" s="4">
        <v>9.99</v>
      </c>
      <c r="E328" s="15">
        <f t="shared" si="6"/>
        <v>19.98</v>
      </c>
      <c r="F328" s="26" t="s">
        <v>784</v>
      </c>
    </row>
    <row r="329" spans="1:6" x14ac:dyDescent="0.3">
      <c r="A329" s="27">
        <v>17896634</v>
      </c>
      <c r="B329" s="7" t="s">
        <v>785</v>
      </c>
      <c r="C329" s="4">
        <v>2</v>
      </c>
      <c r="D329" s="4">
        <v>9.99</v>
      </c>
      <c r="E329" s="15">
        <f t="shared" si="6"/>
        <v>19.98</v>
      </c>
      <c r="F329" s="26" t="s">
        <v>786</v>
      </c>
    </row>
    <row r="330" spans="1:6" x14ac:dyDescent="0.3">
      <c r="A330" s="27">
        <v>84467863</v>
      </c>
      <c r="B330" s="7" t="s">
        <v>787</v>
      </c>
      <c r="C330" s="4">
        <v>2</v>
      </c>
      <c r="D330" s="4">
        <v>3.69</v>
      </c>
      <c r="E330" s="15">
        <f t="shared" si="6"/>
        <v>7.38</v>
      </c>
      <c r="F330" s="26" t="s">
        <v>788</v>
      </c>
    </row>
    <row r="331" spans="1:6" x14ac:dyDescent="0.3">
      <c r="A331" s="27">
        <v>903100</v>
      </c>
      <c r="B331" s="7" t="s">
        <v>789</v>
      </c>
      <c r="C331" s="4">
        <v>1</v>
      </c>
      <c r="D331" s="4">
        <v>36.58</v>
      </c>
      <c r="E331" s="15">
        <f t="shared" si="6"/>
        <v>36.58</v>
      </c>
      <c r="F331" s="26" t="s">
        <v>790</v>
      </c>
    </row>
    <row r="332" spans="1:6" x14ac:dyDescent="0.3">
      <c r="A332" s="27">
        <v>84498941</v>
      </c>
      <c r="B332" s="7" t="s">
        <v>791</v>
      </c>
      <c r="C332" s="4">
        <v>1</v>
      </c>
      <c r="D332" s="4">
        <v>2.69</v>
      </c>
      <c r="E332" s="15">
        <f t="shared" si="6"/>
        <v>2.69</v>
      </c>
      <c r="F332" s="26" t="s">
        <v>792</v>
      </c>
    </row>
    <row r="333" spans="1:6" x14ac:dyDescent="0.3">
      <c r="A333" s="27">
        <v>83206072</v>
      </c>
      <c r="B333" s="7" t="s">
        <v>793</v>
      </c>
      <c r="C333" s="4">
        <v>1</v>
      </c>
      <c r="D333" s="4">
        <v>179.99</v>
      </c>
      <c r="E333" s="15">
        <f t="shared" si="6"/>
        <v>179.99</v>
      </c>
      <c r="F333" s="29" t="s">
        <v>794</v>
      </c>
    </row>
    <row r="334" spans="1:6" x14ac:dyDescent="0.3">
      <c r="A334" s="27">
        <v>19319874</v>
      </c>
      <c r="B334" s="7" t="s">
        <v>795</v>
      </c>
      <c r="C334" s="4">
        <v>3</v>
      </c>
      <c r="D334" s="4">
        <v>12.99</v>
      </c>
      <c r="E334" s="15">
        <f t="shared" si="6"/>
        <v>38.97</v>
      </c>
      <c r="F334" s="19" t="s">
        <v>796</v>
      </c>
    </row>
    <row r="335" spans="1:6" x14ac:dyDescent="0.3">
      <c r="A335" s="27">
        <v>19319790</v>
      </c>
      <c r="B335" s="7" t="s">
        <v>797</v>
      </c>
      <c r="C335" s="4">
        <v>3</v>
      </c>
      <c r="D335" s="4">
        <v>12.99</v>
      </c>
      <c r="E335" s="15">
        <f t="shared" si="6"/>
        <v>38.97</v>
      </c>
      <c r="F335" s="38" t="s">
        <v>798</v>
      </c>
    </row>
    <row r="336" spans="1:6" x14ac:dyDescent="0.3">
      <c r="A336" s="46">
        <v>82294850</v>
      </c>
      <c r="B336" s="30" t="s">
        <v>799</v>
      </c>
      <c r="C336" s="31">
        <v>1</v>
      </c>
      <c r="D336" s="31">
        <v>39.99</v>
      </c>
      <c r="E336" s="43">
        <f t="shared" si="6"/>
        <v>39.99</v>
      </c>
      <c r="F336" s="45" t="s">
        <v>800</v>
      </c>
    </row>
    <row r="337" spans="1:6" x14ac:dyDescent="0.3">
      <c r="A337" s="27">
        <v>83631121</v>
      </c>
      <c r="B337" s="7" t="s">
        <v>801</v>
      </c>
      <c r="C337" s="4">
        <v>3</v>
      </c>
      <c r="D337" s="4">
        <v>8.99</v>
      </c>
      <c r="E337" s="15">
        <f t="shared" si="6"/>
        <v>26.97</v>
      </c>
      <c r="F337" s="14" t="s">
        <v>802</v>
      </c>
    </row>
    <row r="338" spans="1:6" x14ac:dyDescent="0.3">
      <c r="A338" s="27">
        <v>83631133</v>
      </c>
      <c r="B338" s="7" t="s">
        <v>803</v>
      </c>
      <c r="C338" s="4">
        <v>3</v>
      </c>
      <c r="D338" s="4">
        <v>8.99</v>
      </c>
      <c r="E338" s="15">
        <f t="shared" si="6"/>
        <v>26.97</v>
      </c>
      <c r="F338" s="14" t="s">
        <v>804</v>
      </c>
    </row>
    <row r="339" spans="1:6" x14ac:dyDescent="0.3">
      <c r="A339" s="27">
        <v>83631141</v>
      </c>
      <c r="B339" s="7" t="s">
        <v>805</v>
      </c>
      <c r="C339" s="4">
        <v>2</v>
      </c>
      <c r="D339" s="4">
        <v>8.99</v>
      </c>
      <c r="E339" s="15">
        <f t="shared" si="6"/>
        <v>17.98</v>
      </c>
      <c r="F339" s="14" t="s">
        <v>806</v>
      </c>
    </row>
    <row r="340" spans="1:6" x14ac:dyDescent="0.3">
      <c r="A340" s="27">
        <v>86881232</v>
      </c>
      <c r="B340" s="7" t="s">
        <v>807</v>
      </c>
      <c r="C340" s="4">
        <v>2</v>
      </c>
      <c r="D340" s="4">
        <v>7.99</v>
      </c>
      <c r="E340" s="15">
        <f t="shared" si="6"/>
        <v>15.98</v>
      </c>
      <c r="F340" s="14" t="s">
        <v>808</v>
      </c>
    </row>
    <row r="341" spans="1:6" x14ac:dyDescent="0.3">
      <c r="A341" s="27">
        <v>86881128</v>
      </c>
      <c r="B341" s="7" t="s">
        <v>809</v>
      </c>
      <c r="C341" s="4">
        <v>2</v>
      </c>
      <c r="D341" s="4">
        <v>7.99</v>
      </c>
      <c r="E341" s="15">
        <f t="shared" si="6"/>
        <v>15.98</v>
      </c>
      <c r="F341" s="14" t="s">
        <v>810</v>
      </c>
    </row>
    <row r="342" spans="1:6" x14ac:dyDescent="0.3">
      <c r="A342" s="27">
        <v>86825812</v>
      </c>
      <c r="B342" s="7" t="s">
        <v>811</v>
      </c>
      <c r="C342" s="4">
        <v>2</v>
      </c>
      <c r="D342" s="4">
        <v>6.99</v>
      </c>
      <c r="E342" s="15">
        <f t="shared" si="6"/>
        <v>13.98</v>
      </c>
      <c r="F342" s="14" t="s">
        <v>812</v>
      </c>
    </row>
    <row r="343" spans="1:6" x14ac:dyDescent="0.3">
      <c r="A343" s="27">
        <v>86825813</v>
      </c>
      <c r="B343" s="7" t="s">
        <v>813</v>
      </c>
      <c r="C343" s="4">
        <v>2</v>
      </c>
      <c r="D343" s="4">
        <v>6.99</v>
      </c>
      <c r="E343" s="15">
        <f t="shared" si="6"/>
        <v>13.98</v>
      </c>
      <c r="F343" s="14" t="s">
        <v>814</v>
      </c>
    </row>
    <row r="344" spans="1:6" x14ac:dyDescent="0.3">
      <c r="A344" s="27">
        <v>84467040</v>
      </c>
      <c r="B344" s="7" t="s">
        <v>815</v>
      </c>
      <c r="C344" s="4">
        <v>2</v>
      </c>
      <c r="D344" s="4">
        <v>7.99</v>
      </c>
      <c r="E344" s="15">
        <f t="shared" si="6"/>
        <v>15.98</v>
      </c>
      <c r="F344" s="14" t="s">
        <v>816</v>
      </c>
    </row>
    <row r="345" spans="1:6" x14ac:dyDescent="0.3">
      <c r="A345" s="27">
        <v>86825810</v>
      </c>
      <c r="B345" s="7" t="s">
        <v>817</v>
      </c>
      <c r="C345" s="4">
        <v>4</v>
      </c>
      <c r="D345" s="4">
        <v>4.99</v>
      </c>
      <c r="E345" s="15">
        <f t="shared" si="6"/>
        <v>19.96</v>
      </c>
      <c r="F345" s="14" t="s">
        <v>818</v>
      </c>
    </row>
    <row r="346" spans="1:6" x14ac:dyDescent="0.3">
      <c r="A346" s="27">
        <v>86825814</v>
      </c>
      <c r="B346" s="7" t="s">
        <v>819</v>
      </c>
      <c r="C346" s="4">
        <v>8</v>
      </c>
      <c r="D346" s="4">
        <v>7.99</v>
      </c>
      <c r="E346" s="15">
        <f t="shared" si="6"/>
        <v>63.92</v>
      </c>
      <c r="F346" s="14" t="s">
        <v>820</v>
      </c>
    </row>
    <row r="347" spans="1:6" x14ac:dyDescent="0.3">
      <c r="A347" s="27">
        <v>82736623</v>
      </c>
      <c r="B347" s="7" t="s">
        <v>821</v>
      </c>
      <c r="C347" s="4">
        <v>1</v>
      </c>
      <c r="D347" s="4">
        <v>15.99</v>
      </c>
      <c r="E347" s="15">
        <f t="shared" si="6"/>
        <v>15.99</v>
      </c>
      <c r="F347" s="14" t="s">
        <v>822</v>
      </c>
    </row>
    <row r="348" spans="1:6" x14ac:dyDescent="0.3">
      <c r="A348" s="47"/>
      <c r="E348" s="59">
        <f>SUM(E323:E347)</f>
        <v>723.31000000000017</v>
      </c>
      <c r="F348" s="45"/>
    </row>
    <row r="349" spans="1:6" x14ac:dyDescent="0.3">
      <c r="A349" s="47"/>
      <c r="F349" s="45"/>
    </row>
    <row r="350" spans="1:6" x14ac:dyDescent="0.3">
      <c r="A350" s="47"/>
      <c r="F350" s="45"/>
    </row>
    <row r="351" spans="1:6" x14ac:dyDescent="0.3">
      <c r="B351" s="6" t="s">
        <v>823</v>
      </c>
      <c r="C351" s="6" t="s">
        <v>1</v>
      </c>
      <c r="D351" s="6" t="s">
        <v>2</v>
      </c>
      <c r="E351" s="6" t="s">
        <v>3</v>
      </c>
    </row>
    <row r="352" spans="1:6" x14ac:dyDescent="0.3">
      <c r="A352" s="47"/>
      <c r="B352" s="29" t="s">
        <v>824</v>
      </c>
      <c r="C352" s="4">
        <v>1</v>
      </c>
      <c r="D352" s="9">
        <v>199</v>
      </c>
      <c r="E352" s="59">
        <v>199</v>
      </c>
      <c r="F352" s="45"/>
    </row>
    <row r="353" spans="1:6" x14ac:dyDescent="0.3">
      <c r="A353" s="47"/>
      <c r="F353" s="45"/>
    </row>
    <row r="354" spans="1:6" x14ac:dyDescent="0.3">
      <c r="A354" s="47"/>
      <c r="F354" s="45"/>
    </row>
    <row r="355" spans="1:6" x14ac:dyDescent="0.3">
      <c r="A355" s="47"/>
      <c r="F355" s="45"/>
    </row>
    <row r="356" spans="1:6" x14ac:dyDescent="0.3">
      <c r="B356" s="6" t="s">
        <v>825</v>
      </c>
      <c r="C356" s="6" t="s">
        <v>1</v>
      </c>
      <c r="D356" s="6" t="s">
        <v>2</v>
      </c>
      <c r="E356" s="6" t="s">
        <v>826</v>
      </c>
    </row>
    <row r="357" spans="1:6" x14ac:dyDescent="0.3">
      <c r="A357" s="47"/>
      <c r="B357" s="7" t="s">
        <v>827</v>
      </c>
      <c r="C357" s="4">
        <v>3</v>
      </c>
      <c r="D357" s="4">
        <v>35</v>
      </c>
      <c r="E357" s="15">
        <f>C357*D357</f>
        <v>105</v>
      </c>
      <c r="F357" s="45"/>
    </row>
    <row r="358" spans="1:6" x14ac:dyDescent="0.3">
      <c r="B358" s="7" t="s">
        <v>828</v>
      </c>
      <c r="C358" s="4">
        <v>2</v>
      </c>
      <c r="D358" s="4">
        <v>15</v>
      </c>
      <c r="E358" s="15">
        <f t="shared" ref="E358:E361" si="7">C358*D358</f>
        <v>30</v>
      </c>
    </row>
    <row r="359" spans="1:6" x14ac:dyDescent="0.3">
      <c r="B359" s="7" t="s">
        <v>829</v>
      </c>
      <c r="C359" s="4">
        <v>2</v>
      </c>
      <c r="D359" s="4">
        <v>55</v>
      </c>
      <c r="E359" s="15">
        <f t="shared" si="7"/>
        <v>110</v>
      </c>
    </row>
    <row r="360" spans="1:6" x14ac:dyDescent="0.3">
      <c r="B360" s="7" t="s">
        <v>830</v>
      </c>
      <c r="C360" s="4">
        <v>4</v>
      </c>
      <c r="D360" s="4">
        <v>95</v>
      </c>
      <c r="E360" s="15">
        <f t="shared" si="7"/>
        <v>380</v>
      </c>
    </row>
    <row r="361" spans="1:6" x14ac:dyDescent="0.3">
      <c r="B361" s="7" t="s">
        <v>831</v>
      </c>
      <c r="C361" s="4">
        <v>3</v>
      </c>
      <c r="D361" s="4">
        <v>80</v>
      </c>
      <c r="E361" s="15">
        <f t="shared" si="7"/>
        <v>240</v>
      </c>
    </row>
    <row r="362" spans="1:6" x14ac:dyDescent="0.3">
      <c r="C362"/>
      <c r="E362" s="59">
        <f>SUM(E357:E361)</f>
        <v>865</v>
      </c>
    </row>
    <row r="363" spans="1:6" x14ac:dyDescent="0.3">
      <c r="C363"/>
    </row>
    <row r="364" spans="1:6" x14ac:dyDescent="0.3">
      <c r="C364"/>
    </row>
  </sheetData>
  <autoFilter ref="A109:F318" xr:uid="{5BB1AF0B-1B84-4809-B5CA-944F5FA7EDE6}"/>
  <hyperlinks>
    <hyperlink ref="F110" r:id="rId1" xr:uid="{1E57AA64-6F5A-48F1-AB58-52C9C67A3C8C}"/>
    <hyperlink ref="F112" r:id="rId2" xr:uid="{E4B1AA35-837E-43F6-87DD-50E6747C1B70}"/>
    <hyperlink ref="F113" r:id="rId3" xr:uid="{705D0DA9-944A-4304-B9C0-F8C896B8DA35}"/>
    <hyperlink ref="F115" r:id="rId4" xr:uid="{9B0302E3-CCE7-4F69-951E-29F5168BFCAE}"/>
    <hyperlink ref="F116" r:id="rId5" xr:uid="{8FD4771D-F995-4979-9E87-29B624BAF7B4}"/>
    <hyperlink ref="F118" r:id="rId6" xr:uid="{C9C41F0F-0FC7-4C2A-BACE-A2DF3434C5DF}"/>
    <hyperlink ref="F119" r:id="rId7" xr:uid="{22018CC8-073F-4D32-A5B6-E34C2FA22B36}"/>
    <hyperlink ref="F120" r:id="rId8" xr:uid="{8D648D00-9879-4ED2-83E5-21172F5B47E8}"/>
    <hyperlink ref="F122" r:id="rId9" xr:uid="{F9B19B0D-4BBA-4D60-8BD9-8B2F9610B13A}"/>
    <hyperlink ref="F114" r:id="rId10" xr:uid="{88BE019B-6C6B-49CF-9AB2-35B633BFD7C6}"/>
    <hyperlink ref="F111" r:id="rId11" xr:uid="{44901EA1-D503-47F5-9B37-0FA07244D49F}"/>
    <hyperlink ref="F4" r:id="rId12" xr:uid="{239AE9B1-4F40-41D2-BD74-B58090F9B4C9}"/>
    <hyperlink ref="F5" r:id="rId13" xr:uid="{2734AEBE-32D7-4345-8A34-564D9AB9D380}"/>
    <hyperlink ref="F9" r:id="rId14" xr:uid="{32ECBDC7-6D0F-443D-AA0C-BE4F0873B1B6}"/>
    <hyperlink ref="F17" r:id="rId15" xr:uid="{6668BB5A-0055-4423-BFBC-ED9CB9124211}"/>
    <hyperlink ref="F18" r:id="rId16" xr:uid="{87D6F5FE-57AE-484C-A46C-5F85AEDE9266}"/>
    <hyperlink ref="F20" r:id="rId17" xr:uid="{472713E8-D55F-4D65-B32C-17EC2ECB32D2}"/>
    <hyperlink ref="F26" r:id="rId18" xr:uid="{EDACBF84-C0CF-47D7-9570-349A02F96A90}"/>
    <hyperlink ref="F19" r:id="rId19" xr:uid="{6F431E5D-68A9-4029-A511-D50C8BC526DF}"/>
    <hyperlink ref="F13" r:id="rId20" xr:uid="{70F42D0F-9941-415E-B123-15A12512F45D}"/>
    <hyperlink ref="F326" r:id="rId21" xr:uid="{3505D674-6F0A-4AE2-8453-35BE203FC5E9}"/>
    <hyperlink ref="F152" r:id="rId22" xr:uid="{F0867BA3-F563-4216-A006-5D49FF149DB8}"/>
    <hyperlink ref="F151" r:id="rId23" xr:uid="{80C76E3C-01B7-41A1-B966-ABC273F086F6}"/>
    <hyperlink ref="F32" r:id="rId24" xr:uid="{F3FC91BA-F51B-46AC-B952-5E28291F1CD8}"/>
    <hyperlink ref="F121" r:id="rId25" xr:uid="{A0C54C37-BF18-4E25-903E-6D5CBE32F41F}"/>
    <hyperlink ref="F24" r:id="rId26" xr:uid="{A02380F1-1536-44A3-AEFF-E7F3BDA9AAFD}"/>
    <hyperlink ref="F25" r:id="rId27" xr:uid="{77B25AFC-10CC-4118-84FA-4ABF37045FDE}"/>
    <hyperlink ref="F204" r:id="rId28" xr:uid="{4A8B02AF-7A26-4B24-AC57-9330CA034194}"/>
    <hyperlink ref="F207" r:id="rId29" xr:uid="{00682190-F770-4CE6-BC15-990FAF7362E5}"/>
    <hyperlink ref="F210" r:id="rId30" xr:uid="{25EB02E5-8BBF-4D77-BCA4-FFABA2327C85}"/>
    <hyperlink ref="F219" r:id="rId31" xr:uid="{31F01B5D-CF1C-47FF-91C7-5C27C7A4B4DC}"/>
    <hyperlink ref="F35" r:id="rId32" xr:uid="{6156BAEF-FBD9-47C3-9FC3-0728EB3547CD}"/>
    <hyperlink ref="F223" r:id="rId33" xr:uid="{E1A2B360-175F-4113-94E8-7ECA0FB54ED0}"/>
    <hyperlink ref="F224" r:id="rId34" xr:uid="{BBB8344A-ED16-4D14-A067-F766BCEDA7DF}"/>
    <hyperlink ref="F225" r:id="rId35" xr:uid="{B81E7DC0-CB42-4A45-9B99-17BD0CE7C6B4}"/>
    <hyperlink ref="F226" r:id="rId36" xr:uid="{EAF17DD2-E4B2-4E87-A755-29DA7664CD1E}"/>
    <hyperlink ref="F149" r:id="rId37" xr:uid="{CA66E99A-3F1A-4B2F-A55D-36B9A25285C4}"/>
    <hyperlink ref="F181" r:id="rId38" xr:uid="{36FCEDE7-EE0D-4DCC-B08F-9DD3F248BA54}"/>
    <hyperlink ref="F206" r:id="rId39" xr:uid="{49718591-4F76-4E73-A149-08E9E9E00533}"/>
    <hyperlink ref="F236" r:id="rId40" xr:uid="{C08D916E-1FA7-46EE-BE21-BB9EBE3AF761}"/>
    <hyperlink ref="F237" r:id="rId41" xr:uid="{A33DA41E-E17A-4D64-90D7-403C19330597}"/>
    <hyperlink ref="F244" r:id="rId42" xr:uid="{C04051B5-6E9B-4B0E-954A-9375BD6469A1}"/>
    <hyperlink ref="F245" r:id="rId43" xr:uid="{41C6C8B0-C33D-44F0-89DA-F812912F048B}"/>
    <hyperlink ref="F246" r:id="rId44" xr:uid="{79944F57-FF1B-4E95-AEB9-B9D08CAF12BD}"/>
    <hyperlink ref="F247" r:id="rId45" xr:uid="{10E327F2-B7F7-4B83-9C3E-84D6E4450F6B}"/>
    <hyperlink ref="F248" r:id="rId46" xr:uid="{C656AE1A-8A20-41F5-9646-FDDEEE4B874B}"/>
    <hyperlink ref="F33" r:id="rId47" xr:uid="{EFE60DB5-E667-46DD-963C-E3DC9DAAB3F7}"/>
    <hyperlink ref="F250" r:id="rId48" xr:uid="{928B18A8-A5F1-42F8-BB8B-4C16589E9F3D}"/>
    <hyperlink ref="F251" r:id="rId49" xr:uid="{D8EE952A-1088-4634-BBB4-CFC383C7BDB7}"/>
    <hyperlink ref="F252" r:id="rId50" xr:uid="{A4C24FA9-5149-470F-99AD-12EC4DABADD0}"/>
    <hyperlink ref="F253" r:id="rId51" xr:uid="{8C7AE497-E4EE-4F78-9647-E296350945B0}"/>
    <hyperlink ref="F254" r:id="rId52" xr:uid="{E29BF862-48D8-4B32-B227-622C7F6BFE9A}"/>
    <hyperlink ref="F255" r:id="rId53" xr:uid="{52714ABA-6559-49E1-9A66-E125A2DEFD55}"/>
    <hyperlink ref="F257" r:id="rId54" xr:uid="{995315F1-4B03-4CE3-B91F-FBD4C0853DDB}"/>
    <hyperlink ref="F258" r:id="rId55" xr:uid="{CDA783E2-7C65-4E53-951B-C1CFBF3E8D1E}"/>
    <hyperlink ref="F259" r:id="rId56" xr:uid="{B6C8AABF-5461-4BC9-B02F-D280E7782572}"/>
    <hyperlink ref="F336" r:id="rId57" xr:uid="{92CC62AC-E118-4D65-9987-48CB2A21653C}"/>
    <hyperlink ref="F44" r:id="rId58" xr:uid="{97B8F610-1BB8-41DA-B5CF-52B58D610DFD}"/>
    <hyperlink ref="F46" r:id="rId59" xr:uid="{3818E429-0BFF-4FA4-9105-5B14B10061B6}"/>
    <hyperlink ref="F337" r:id="rId60" xr:uid="{550FC8D8-F01B-4635-979B-83D0AE32405C}"/>
    <hyperlink ref="F338" r:id="rId61" xr:uid="{87686886-8B8E-4627-BE6E-CE0A64961A26}"/>
    <hyperlink ref="F339" r:id="rId62" xr:uid="{B911F503-271F-4C99-A641-5CAF5E9CCCD1}"/>
    <hyperlink ref="F340" r:id="rId63" xr:uid="{4E8FE060-A458-4560-A072-92B4E97B1F83}"/>
    <hyperlink ref="F342" r:id="rId64" xr:uid="{424FA492-1019-41D1-9802-D82584DC2996}"/>
    <hyperlink ref="F343" r:id="rId65" xr:uid="{162637CF-CB3F-40CA-A462-45DC42F75255}"/>
    <hyperlink ref="F344" r:id="rId66" xr:uid="{DE8A94A0-EDF8-45A4-81F4-9E6CEE2DDC9E}"/>
    <hyperlink ref="F345" r:id="rId67" xr:uid="{05A48981-C650-46B2-9CC3-F7746FAA2901}"/>
    <hyperlink ref="F346" r:id="rId68" xr:uid="{CF52C52F-4676-4293-A40F-6B5D7466BE8F}"/>
    <hyperlink ref="F347" r:id="rId69" xr:uid="{96AEA11D-004E-4D3B-B130-2CB161A98ACD}"/>
    <hyperlink ref="F333" r:id="rId70" xr:uid="{0E545D29-5DC7-4DB1-895F-5BD6EF13ADAB}"/>
    <hyperlink ref="F262" r:id="rId71" xr:uid="{48714613-6926-4807-A4F5-F0E0BEED7B8C}"/>
    <hyperlink ref="F263" r:id="rId72" xr:uid="{A758EAE5-C79D-4B0A-8CDC-92B866B91F0C}"/>
    <hyperlink ref="F264" r:id="rId73" xr:uid="{415C84F0-85BE-4F0A-A865-BA5BEE14C239}"/>
    <hyperlink ref="F266" r:id="rId74" xr:uid="{3681C1B4-B3ED-4CAC-8E8E-74D0CB8C00EC}"/>
    <hyperlink ref="F269" r:id="rId75" xr:uid="{64EAF91E-4149-4B55-8EE3-9E42171FF1C9}"/>
    <hyperlink ref="F267" r:id="rId76" xr:uid="{3ED46C7B-ACE3-4C3D-BA9E-742428C1349E}"/>
    <hyperlink ref="F268" r:id="rId77" xr:uid="{DF9F75B6-B528-4705-A841-A641CC8E503E}"/>
    <hyperlink ref="F47" r:id="rId78" xr:uid="{F96AA38D-DF15-4D8F-8C9A-3EA87441DA44}"/>
    <hyperlink ref="F48" r:id="rId79" xr:uid="{2D799EBC-050A-4AC8-B2BC-5DE679DA5FB4}"/>
    <hyperlink ref="F261" r:id="rId80" xr:uid="{D9D702FC-20E3-4515-B1B9-8ED2A5498368}"/>
    <hyperlink ref="F150" r:id="rId81" xr:uid="{FE6CA22D-23EC-4787-B2CC-55AF012D7470}"/>
    <hyperlink ref="F270" r:id="rId82" xr:uid="{BEAC30A8-50C8-47E2-A677-09CCA81B6949}"/>
    <hyperlink ref="F271" r:id="rId83" xr:uid="{E96E3276-4E7D-4C30-9433-576712F6FC8B}"/>
    <hyperlink ref="F272" r:id="rId84" xr:uid="{BF9269C3-63F0-4CA9-851A-290992CE56A3}"/>
    <hyperlink ref="F273" r:id="rId85" xr:uid="{93725C09-6198-41B6-A5BE-B32892F28E9F}"/>
    <hyperlink ref="F166" r:id="rId86" xr:uid="{CBF16B48-5245-4A0E-AB5A-99465E3B87F7}"/>
    <hyperlink ref="F274" r:id="rId87" xr:uid="{07FBD2F4-A57B-49A9-8FF1-F1E45CFA77CF}"/>
    <hyperlink ref="F275" r:id="rId88" xr:uid="{573B24B0-E459-4CCE-B5FD-62FFA6CE7B23}"/>
    <hyperlink ref="F276" r:id="rId89" xr:uid="{099C1141-1C1E-4E44-BA61-1ED13C59247C}"/>
    <hyperlink ref="F56" r:id="rId90" xr:uid="{098F53D6-0579-4B7F-A8F6-2BBC9691CC2C}"/>
    <hyperlink ref="B352" r:id="rId91" xr:uid="{04FC1481-4246-4C89-A16D-3C88720EF087}"/>
    <hyperlink ref="F58" r:id="rId92" xr:uid="{6E861BA3-DBFA-4C38-9ABD-9E265297DD2C}"/>
    <hyperlink ref="F59" r:id="rId93" xr:uid="{D8347387-DBFF-4992-8DE0-53B73AF49146}"/>
    <hyperlink ref="F60" r:id="rId94" xr:uid="{C440E3F9-DCC5-498C-BFB5-4635B4C9536C}"/>
    <hyperlink ref="F61" r:id="rId95" xr:uid="{4D76C36B-07B1-484D-B4C5-0B197351B940}"/>
    <hyperlink ref="F64" r:id="rId96" xr:uid="{C2ACAA47-38CD-4AF7-BBFA-6CE39258BAC8}"/>
    <hyperlink ref="F65" r:id="rId97" xr:uid="{CD4771E1-4E7A-48A0-980C-87E08A23042B}"/>
    <hyperlink ref="F68" r:id="rId98" xr:uid="{8CD9DE58-2C5F-452D-B00E-586067AD8667}"/>
    <hyperlink ref="F69" r:id="rId99" xr:uid="{7C089EA7-8791-488F-95FC-4815CC2FCD55}"/>
    <hyperlink ref="F70" r:id="rId100" xr:uid="{149A88CD-6291-4F50-A2D7-B0CD8917A89B}"/>
    <hyperlink ref="F71" r:id="rId101" xr:uid="{5FE23D56-D507-4DF3-803C-606B63CADD64}"/>
    <hyperlink ref="F72" r:id="rId102" xr:uid="{55607C15-36DC-411C-8F5F-203182847D24}"/>
    <hyperlink ref="F73" r:id="rId103" xr:uid="{CCB1A3FA-E664-4D7A-8DFE-BBA9B3313671}"/>
    <hyperlink ref="F74" r:id="rId104" xr:uid="{A5BE42B2-E29B-438E-A075-2814877D9767}"/>
    <hyperlink ref="F75" r:id="rId105" xr:uid="{F3337B93-9DFC-4E85-93ED-A184FC7DB386}"/>
    <hyperlink ref="F76" r:id="rId106" xr:uid="{9D3CECAD-46FF-4BAC-8FF8-ED37498D54C6}"/>
    <hyperlink ref="F77" r:id="rId107" xr:uid="{55B64839-96AE-4EC4-BB16-EC73CC5E8956}"/>
    <hyperlink ref="F78" r:id="rId108" xr:uid="{100A2339-F778-4ACF-A332-8711744BCEBC}"/>
    <hyperlink ref="F62" r:id="rId109" xr:uid="{94BFD8BB-2E73-4993-A4D5-6D4CA099D4FE}"/>
    <hyperlink ref="F63" r:id="rId110" xr:uid="{CBB36060-87BF-4280-B2DB-B0C329B4CA1C}"/>
    <hyperlink ref="F81" r:id="rId111" xr:uid="{757C570A-B651-4B4A-B158-43D87E19FFBD}"/>
    <hyperlink ref="F82" r:id="rId112" xr:uid="{7097C7CF-243D-4D59-8B8C-65FD0ACF317B}"/>
    <hyperlink ref="F278" r:id="rId113" xr:uid="{333636BD-6F56-4430-B698-555F88CF2BDC}"/>
    <hyperlink ref="F86" r:id="rId114" xr:uid="{D4BD699C-668B-419D-8D2F-EA3279356AF4}"/>
    <hyperlink ref="F84" r:id="rId115" xr:uid="{C20214A2-9791-4082-83A2-11448DBB0F08}"/>
    <hyperlink ref="F83" r:id="rId116" xr:uid="{B1D7A93C-9704-41E9-AFFE-E885A23D4B25}"/>
    <hyperlink ref="F85" r:id="rId117" xr:uid="{CA434B1D-751D-4FD5-A7A0-3F4EEFEDC549}"/>
    <hyperlink ref="F87" r:id="rId118" xr:uid="{F351FB4A-126F-423B-88B3-A3A006CD0267}"/>
    <hyperlink ref="F88" r:id="rId119" xr:uid="{DDEB6219-7410-4EBF-85D0-D7702740DB04}"/>
    <hyperlink ref="F89" r:id="rId120" xr:uid="{1DA21F7A-A83D-418B-84A5-2F1DDE513BD3}"/>
    <hyperlink ref="F279" r:id="rId121" xr:uid="{B4B0F4E4-A5D8-4FD0-9D1D-63B0D1DD4316}"/>
    <hyperlink ref="F280" r:id="rId122" xr:uid="{28BE31F0-CF2E-466D-8575-401F682045E0}"/>
    <hyperlink ref="F281" r:id="rId123" xr:uid="{243DFF3C-843C-41C0-BBC8-55E0785BF8EA}"/>
    <hyperlink ref="F282" r:id="rId124" xr:uid="{78C6543C-1B66-4D8A-818E-966CBD595450}"/>
    <hyperlink ref="F283" r:id="rId125" xr:uid="{0AC87F7A-A902-49E6-80D5-2836F33FC490}"/>
    <hyperlink ref="F284" r:id="rId126" xr:uid="{FDF13413-FEB6-4147-B86B-531C37B89DAF}"/>
    <hyperlink ref="F10" r:id="rId127" xr:uid="{9303267A-991F-4CA6-B581-74CDB8A88BBE}"/>
    <hyperlink ref="F285" r:id="rId128" xr:uid="{6C32BC8B-DE02-43EE-B360-D3803BC99990}"/>
    <hyperlink ref="F286" r:id="rId129" xr:uid="{C632F82C-86FD-479E-88E5-B251BBEBB70F}"/>
    <hyperlink ref="F287" r:id="rId130" xr:uid="{F1BBA4A7-EF58-4EB8-9C9B-7839D5A385C1}"/>
    <hyperlink ref="F92" r:id="rId131" xr:uid="{14A07B0C-A04C-4F79-8A7C-D03EFEA38670}"/>
    <hyperlink ref="F93" r:id="rId132" xr:uid="{2A1A3AEE-CD60-456F-BDEA-6F8A2A237394}"/>
    <hyperlink ref="F91" r:id="rId133" xr:uid="{249A7239-9E85-4988-B99A-044925ACBF4A}"/>
    <hyperlink ref="F94" r:id="rId134" xr:uid="{55CF7CC1-5E75-4EE0-899E-80113362B77F}"/>
    <hyperlink ref="F95" r:id="rId135" xr:uid="{4406E45A-31A3-4299-AA98-790FA632AD9B}"/>
    <hyperlink ref="F98" r:id="rId136" xr:uid="{FA301B3C-0E5A-4CC5-8A0D-F28751404241}"/>
    <hyperlink ref="F97" r:id="rId137" xr:uid="{A3E45521-B789-4ACB-AD0F-1C945B63BB10}"/>
    <hyperlink ref="F96" r:id="rId138" xr:uid="{6733BD48-0060-40B1-A9AF-36C700D1D2ED}"/>
    <hyperlink ref="F99" r:id="rId139" xr:uid="{A9F5461C-BCFC-49F2-A616-8D20F2753DD9}"/>
    <hyperlink ref="F100" r:id="rId140" xr:uid="{A8F2E652-FFFB-487D-A66A-9154EF0ED3C0}"/>
    <hyperlink ref="F101" r:id="rId141" xr:uid="{4961B1A1-FF42-4A2E-B6A8-F9B3F7D13A0D}"/>
    <hyperlink ref="F102" r:id="rId142" xr:uid="{A2A5A557-AFEF-46C2-A8DF-F436C38F4820}"/>
    <hyperlink ref="F103" r:id="rId143" xr:uid="{7F7F3219-232E-4855-B1F7-A443BE00E7A9}"/>
    <hyperlink ref="F104" r:id="rId144" xr:uid="{2B8B5B1D-2BA5-492E-B2ED-332CB7D9EF6B}"/>
    <hyperlink ref="F105" r:id="rId145" xr:uid="{C195E7E9-BB27-4A36-903D-4F9A9706C68D}"/>
    <hyperlink ref="F288" r:id="rId146" xr:uid="{9DED228B-14A8-49B3-AC2D-9C7591E5D130}"/>
    <hyperlink ref="F289" r:id="rId147" xr:uid="{3E7E5888-6939-4A5A-94BE-16ADC218DE0E}"/>
    <hyperlink ref="F290" r:id="rId148" xr:uid="{31AB6DA3-ADBF-4679-AF20-F7D349D2ACFB}"/>
    <hyperlink ref="F291" r:id="rId149" xr:uid="{34D50534-18F5-45DD-A295-0655CBDB450D}"/>
    <hyperlink ref="F292" r:id="rId150" xr:uid="{A2D01226-0D5C-4ADF-91A0-DF2932B979E0}"/>
    <hyperlink ref="F293" r:id="rId151" xr:uid="{E4C5E260-6F6B-4505-88D4-32DDA4E9A851}"/>
    <hyperlink ref="F294" r:id="rId152" xr:uid="{11859DD7-3652-4999-A36C-8D8AE7654542}"/>
    <hyperlink ref="F296" r:id="rId153" xr:uid="{BF181C6E-1064-4AB5-884A-1E359C3430F6}"/>
    <hyperlink ref="F297" r:id="rId154" xr:uid="{1E7EE2E5-46D5-482F-9439-ED3DA506DACE}"/>
    <hyperlink ref="F298" r:id="rId155" xr:uid="{DF14FA1F-9B4F-43DC-9658-C553859E10D7}"/>
    <hyperlink ref="F299" r:id="rId156" xr:uid="{9F3F0AB3-FF66-4C94-93D7-564364FAFC8E}"/>
    <hyperlink ref="F300" r:id="rId157" xr:uid="{9A021290-DD46-4F17-9C56-55EF2650A020}"/>
    <hyperlink ref="F301" r:id="rId158" xr:uid="{B55B4C78-3FF5-49FA-98B2-97372A360C38}"/>
    <hyperlink ref="F302" r:id="rId159" xr:uid="{80FBE2EF-9B7E-4A1F-BE4D-482F4AC62FE1}"/>
    <hyperlink ref="F304" r:id="rId160" xr:uid="{6BE98642-4329-4571-A95F-D524E6DF409F}"/>
    <hyperlink ref="F305" r:id="rId161" xr:uid="{CE6E08D2-B2B8-4848-88CE-15CBC0832E13}"/>
    <hyperlink ref="F306" r:id="rId162" xr:uid="{ACADFD05-C6A4-4786-94DC-ACA1F505A4A1}"/>
    <hyperlink ref="F307" r:id="rId163" xr:uid="{DE3D3960-E62A-4CEF-A400-8BEEA229BC12}"/>
    <hyperlink ref="F106" r:id="rId164" xr:uid="{987AC45A-359D-4D21-8326-04383476A950}"/>
  </hyperlinks>
  <pageMargins left="0.7" right="0.7" top="0.75" bottom="0.75" header="0.3" footer="0.3"/>
  <pageSetup paperSize="9" orientation="portrait" r:id="rId16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9313F-01B8-4551-958D-C572072BE1FF}">
  <dimension ref="A1:L326"/>
  <sheetViews>
    <sheetView topLeftCell="D1" workbookViewId="0">
      <pane ySplit="1" topLeftCell="A2" activePane="bottomLeft" state="frozen"/>
      <selection pane="bottomLeft" activeCell="L9" sqref="L9"/>
    </sheetView>
  </sheetViews>
  <sheetFormatPr baseColWidth="10" defaultColWidth="11.44140625" defaultRowHeight="14.4" x14ac:dyDescent="0.3"/>
  <cols>
    <col min="1" max="1" width="16.44140625" style="1" bestFit="1" customWidth="1"/>
    <col min="2" max="2" width="11.5546875" style="1"/>
    <col min="3" max="3" width="64.88671875" bestFit="1" customWidth="1"/>
    <col min="4" max="4" width="11.5546875" style="1"/>
    <col min="5" max="5" width="14.33203125" style="1" customWidth="1"/>
    <col min="6" max="6" width="11.5546875" style="47"/>
  </cols>
  <sheetData>
    <row r="1" spans="1:12" s="2" customFormat="1" ht="24.6" customHeight="1" x14ac:dyDescent="0.3">
      <c r="A1" s="60" t="s">
        <v>832</v>
      </c>
      <c r="B1" s="60"/>
      <c r="C1" s="60"/>
      <c r="D1" s="61"/>
      <c r="E1" s="6" t="s">
        <v>833</v>
      </c>
      <c r="F1" s="55" t="s">
        <v>834</v>
      </c>
      <c r="G1" s="6" t="s">
        <v>835</v>
      </c>
      <c r="H1" s="6" t="s">
        <v>836</v>
      </c>
      <c r="I1" s="6" t="s">
        <v>837</v>
      </c>
      <c r="J1" s="6" t="s">
        <v>838</v>
      </c>
      <c r="K1" s="6" t="s">
        <v>839</v>
      </c>
      <c r="L1" s="6" t="s">
        <v>840</v>
      </c>
    </row>
    <row r="2" spans="1:12" ht="19.2" customHeight="1" x14ac:dyDescent="0.3">
      <c r="A2" s="6" t="s">
        <v>841</v>
      </c>
      <c r="B2" s="6" t="s">
        <v>842</v>
      </c>
      <c r="C2" s="6" t="s">
        <v>843</v>
      </c>
      <c r="D2" s="6" t="s">
        <v>844</v>
      </c>
      <c r="E2" s="6" t="s">
        <v>844</v>
      </c>
      <c r="F2" s="55" t="s">
        <v>844</v>
      </c>
      <c r="G2" s="6" t="s">
        <v>844</v>
      </c>
      <c r="H2" s="6" t="s">
        <v>844</v>
      </c>
      <c r="I2" s="6" t="s">
        <v>844</v>
      </c>
      <c r="J2" s="55" t="s">
        <v>844</v>
      </c>
      <c r="K2" s="6" t="s">
        <v>844</v>
      </c>
      <c r="L2" s="6" t="s">
        <v>844</v>
      </c>
    </row>
    <row r="3" spans="1:12" x14ac:dyDescent="0.3">
      <c r="A3" s="15" t="s">
        <v>845</v>
      </c>
      <c r="B3" s="35" t="s">
        <v>846</v>
      </c>
      <c r="C3" s="7" t="s">
        <v>847</v>
      </c>
      <c r="D3" s="15">
        <v>3</v>
      </c>
      <c r="E3" s="15">
        <v>3</v>
      </c>
      <c r="F3" s="27">
        <v>0</v>
      </c>
      <c r="G3" s="4"/>
      <c r="H3" s="4"/>
      <c r="I3" s="4"/>
      <c r="J3" s="4"/>
      <c r="K3" s="4"/>
      <c r="L3" s="4"/>
    </row>
    <row r="4" spans="1:12" x14ac:dyDescent="0.3">
      <c r="A4" s="15" t="s">
        <v>845</v>
      </c>
      <c r="B4" s="35" t="s">
        <v>846</v>
      </c>
      <c r="C4" s="7" t="s">
        <v>848</v>
      </c>
      <c r="D4" s="15">
        <v>4</v>
      </c>
      <c r="E4" s="15">
        <v>4</v>
      </c>
      <c r="F4" s="27">
        <v>0</v>
      </c>
      <c r="G4" s="4"/>
      <c r="H4" s="4"/>
      <c r="I4" s="4"/>
      <c r="J4" s="4"/>
      <c r="K4" s="4"/>
      <c r="L4" s="4"/>
    </row>
    <row r="5" spans="1:12" x14ac:dyDescent="0.3">
      <c r="A5" s="15" t="s">
        <v>849</v>
      </c>
      <c r="B5" s="15" t="s">
        <v>300</v>
      </c>
      <c r="C5" s="7" t="s">
        <v>850</v>
      </c>
      <c r="D5" s="4">
        <v>2</v>
      </c>
      <c r="E5" s="15">
        <v>1</v>
      </c>
      <c r="F5" s="27">
        <v>1</v>
      </c>
      <c r="G5" s="4"/>
      <c r="H5" s="4"/>
      <c r="I5" s="4"/>
      <c r="J5" s="4"/>
      <c r="K5" s="4"/>
      <c r="L5" s="4"/>
    </row>
    <row r="6" spans="1:12" x14ac:dyDescent="0.3">
      <c r="A6" s="15" t="s">
        <v>849</v>
      </c>
      <c r="B6" s="35" t="s">
        <v>297</v>
      </c>
      <c r="C6" s="7" t="s">
        <v>298</v>
      </c>
      <c r="D6" s="4">
        <v>1</v>
      </c>
      <c r="E6" s="15">
        <v>0</v>
      </c>
      <c r="F6" s="27">
        <v>1</v>
      </c>
      <c r="G6" s="4"/>
      <c r="H6" s="4"/>
      <c r="I6" s="4"/>
      <c r="J6" s="4"/>
      <c r="K6" s="4"/>
      <c r="L6" s="4"/>
    </row>
    <row r="7" spans="1:12" x14ac:dyDescent="0.3">
      <c r="A7" s="15" t="s">
        <v>849</v>
      </c>
      <c r="B7" s="35" t="s">
        <v>303</v>
      </c>
      <c r="C7" s="7" t="s">
        <v>304</v>
      </c>
      <c r="D7" s="4">
        <v>8</v>
      </c>
      <c r="E7" s="15">
        <v>2</v>
      </c>
      <c r="F7" s="27">
        <v>0</v>
      </c>
      <c r="G7" s="4">
        <v>1</v>
      </c>
      <c r="H7" s="4">
        <v>3</v>
      </c>
      <c r="I7" s="4"/>
      <c r="J7" s="4"/>
      <c r="K7" s="4"/>
      <c r="L7" s="4">
        <v>2</v>
      </c>
    </row>
    <row r="8" spans="1:12" x14ac:dyDescent="0.3">
      <c r="A8" s="15" t="s">
        <v>849</v>
      </c>
      <c r="B8" s="35" t="s">
        <v>306</v>
      </c>
      <c r="C8" s="7" t="s">
        <v>307</v>
      </c>
      <c r="D8" s="4">
        <v>6</v>
      </c>
      <c r="E8" s="15">
        <v>0</v>
      </c>
      <c r="F8" s="27">
        <v>0</v>
      </c>
      <c r="G8" s="4"/>
      <c r="H8" s="4">
        <v>4</v>
      </c>
      <c r="I8" s="4"/>
      <c r="J8" s="4"/>
      <c r="K8" s="4"/>
      <c r="L8" s="4">
        <v>2</v>
      </c>
    </row>
    <row r="9" spans="1:12" x14ac:dyDescent="0.3">
      <c r="A9" s="15" t="s">
        <v>851</v>
      </c>
      <c r="B9" s="15" t="s">
        <v>208</v>
      </c>
      <c r="C9" s="7" t="s">
        <v>852</v>
      </c>
      <c r="D9" s="15">
        <v>9</v>
      </c>
      <c r="E9" s="15">
        <v>4</v>
      </c>
      <c r="F9" s="27">
        <v>0</v>
      </c>
      <c r="G9" s="4"/>
      <c r="H9" s="4"/>
      <c r="I9" s="4">
        <v>2</v>
      </c>
      <c r="J9" s="4">
        <v>2</v>
      </c>
      <c r="K9" s="4"/>
      <c r="L9" s="4">
        <v>1</v>
      </c>
    </row>
    <row r="10" spans="1:12" x14ac:dyDescent="0.3">
      <c r="A10" s="15" t="s">
        <v>853</v>
      </c>
      <c r="B10" s="15" t="s">
        <v>208</v>
      </c>
      <c r="C10" s="7" t="s">
        <v>854</v>
      </c>
      <c r="D10" s="15">
        <v>2</v>
      </c>
      <c r="E10" s="15">
        <v>2</v>
      </c>
      <c r="F10" s="27">
        <v>0</v>
      </c>
      <c r="G10" s="4"/>
      <c r="H10" s="4"/>
      <c r="I10" s="4"/>
      <c r="J10" s="4"/>
      <c r="K10" s="4"/>
      <c r="L10" s="4"/>
    </row>
    <row r="11" spans="1:12" x14ac:dyDescent="0.3">
      <c r="A11" s="15" t="s">
        <v>14</v>
      </c>
      <c r="B11" s="15">
        <v>1088417001</v>
      </c>
      <c r="C11" s="7" t="s">
        <v>15</v>
      </c>
      <c r="D11" s="4">
        <v>2</v>
      </c>
      <c r="E11" s="15">
        <v>2</v>
      </c>
      <c r="F11" s="27">
        <v>0</v>
      </c>
      <c r="G11" s="4"/>
      <c r="H11" s="4"/>
      <c r="I11" s="4"/>
      <c r="J11" s="4"/>
      <c r="K11" s="4"/>
      <c r="L11" s="4"/>
    </row>
    <row r="12" spans="1:12" x14ac:dyDescent="0.3">
      <c r="A12" s="15" t="s">
        <v>14</v>
      </c>
      <c r="B12" s="15">
        <v>502190082</v>
      </c>
      <c r="C12" s="7" t="s">
        <v>17</v>
      </c>
      <c r="D12" s="4">
        <v>2</v>
      </c>
      <c r="E12" s="15">
        <v>2</v>
      </c>
      <c r="F12" s="27">
        <v>0</v>
      </c>
      <c r="G12" s="4"/>
      <c r="H12" s="4"/>
      <c r="I12" s="4"/>
      <c r="J12" s="4"/>
      <c r="K12" s="4"/>
      <c r="L12" s="4"/>
    </row>
    <row r="13" spans="1:12" x14ac:dyDescent="0.3">
      <c r="A13" s="15" t="s">
        <v>14</v>
      </c>
      <c r="B13" s="15">
        <v>502190066</v>
      </c>
      <c r="C13" s="7" t="s">
        <v>19</v>
      </c>
      <c r="D13" s="4">
        <v>2</v>
      </c>
      <c r="E13" s="15">
        <v>2</v>
      </c>
      <c r="F13" s="27">
        <v>0</v>
      </c>
      <c r="G13" s="4"/>
      <c r="H13" s="4"/>
      <c r="I13" s="4"/>
      <c r="J13" s="4"/>
      <c r="K13" s="4"/>
      <c r="L13" s="4"/>
    </row>
    <row r="14" spans="1:12" x14ac:dyDescent="0.3">
      <c r="A14" s="15" t="s">
        <v>14</v>
      </c>
      <c r="B14" s="15">
        <v>502190003</v>
      </c>
      <c r="C14" s="7" t="s">
        <v>21</v>
      </c>
      <c r="D14" s="4">
        <v>2</v>
      </c>
      <c r="E14" s="15">
        <v>2</v>
      </c>
      <c r="F14" s="27">
        <v>0</v>
      </c>
      <c r="G14" s="4"/>
      <c r="H14" s="4"/>
      <c r="I14" s="4"/>
      <c r="J14" s="4"/>
      <c r="K14" s="4"/>
      <c r="L14" s="4"/>
    </row>
    <row r="15" spans="1:12" x14ac:dyDescent="0.3">
      <c r="A15" s="15" t="s">
        <v>855</v>
      </c>
      <c r="B15" s="15">
        <v>57022524</v>
      </c>
      <c r="C15" s="7" t="s">
        <v>24</v>
      </c>
      <c r="D15" s="4">
        <v>2</v>
      </c>
      <c r="E15" s="15">
        <v>2</v>
      </c>
      <c r="F15" s="27">
        <v>0</v>
      </c>
      <c r="G15" s="4"/>
      <c r="H15" s="4"/>
      <c r="I15" s="4"/>
      <c r="J15" s="4"/>
      <c r="K15" s="4"/>
      <c r="L15" s="4"/>
    </row>
    <row r="16" spans="1:12" x14ac:dyDescent="0.3">
      <c r="A16" s="15" t="s">
        <v>855</v>
      </c>
      <c r="B16" s="15">
        <v>57022524</v>
      </c>
      <c r="C16" s="7" t="s">
        <v>26</v>
      </c>
      <c r="D16" s="4">
        <v>2</v>
      </c>
      <c r="E16" s="15">
        <v>2</v>
      </c>
      <c r="F16" s="27">
        <v>0</v>
      </c>
      <c r="G16" s="4"/>
      <c r="H16" s="4"/>
      <c r="I16" s="4"/>
      <c r="J16" s="4"/>
      <c r="K16" s="4"/>
      <c r="L16" s="4"/>
    </row>
    <row r="17" spans="1:12" x14ac:dyDescent="0.3">
      <c r="A17" s="15" t="s">
        <v>855</v>
      </c>
      <c r="B17" s="15">
        <v>57022524</v>
      </c>
      <c r="C17" s="7" t="s">
        <v>28</v>
      </c>
      <c r="D17" s="4">
        <v>4</v>
      </c>
      <c r="E17" s="15">
        <v>4</v>
      </c>
      <c r="F17" s="27">
        <v>0</v>
      </c>
      <c r="G17" s="4"/>
      <c r="H17" s="4"/>
      <c r="I17" s="4"/>
      <c r="J17" s="4"/>
      <c r="K17" s="4"/>
      <c r="L17" s="4"/>
    </row>
    <row r="18" spans="1:12" x14ac:dyDescent="0.3">
      <c r="A18" s="15" t="s">
        <v>849</v>
      </c>
      <c r="B18" s="35" t="s">
        <v>335</v>
      </c>
      <c r="C18" s="7" t="s">
        <v>336</v>
      </c>
      <c r="D18" s="4">
        <v>8</v>
      </c>
      <c r="E18" s="15">
        <v>0</v>
      </c>
      <c r="F18" s="27">
        <v>6</v>
      </c>
      <c r="G18" s="4"/>
      <c r="H18" s="4"/>
      <c r="I18" s="4"/>
      <c r="J18" s="4"/>
      <c r="K18" s="4"/>
      <c r="L18" s="4">
        <v>2</v>
      </c>
    </row>
    <row r="19" spans="1:12" x14ac:dyDescent="0.3">
      <c r="A19" s="15" t="s">
        <v>849</v>
      </c>
      <c r="B19" s="35" t="s">
        <v>442</v>
      </c>
      <c r="C19" s="7" t="s">
        <v>856</v>
      </c>
      <c r="D19" s="4">
        <v>6</v>
      </c>
      <c r="E19" s="15">
        <v>0</v>
      </c>
      <c r="F19" s="27">
        <v>2</v>
      </c>
      <c r="G19" s="4"/>
      <c r="H19" s="4">
        <v>2</v>
      </c>
      <c r="I19" s="4"/>
      <c r="J19" s="4"/>
      <c r="K19" s="4"/>
      <c r="L19" s="4">
        <v>2</v>
      </c>
    </row>
    <row r="20" spans="1:12" x14ac:dyDescent="0.3">
      <c r="A20" s="15" t="s">
        <v>849</v>
      </c>
      <c r="B20" s="35" t="s">
        <v>857</v>
      </c>
      <c r="C20" s="7" t="s">
        <v>345</v>
      </c>
      <c r="D20" s="4">
        <v>2</v>
      </c>
      <c r="E20" s="15">
        <v>0</v>
      </c>
      <c r="F20" s="27">
        <v>2</v>
      </c>
      <c r="G20" s="4"/>
      <c r="H20" s="4"/>
      <c r="I20" s="4"/>
      <c r="J20" s="4"/>
      <c r="K20" s="4"/>
      <c r="L20" s="4"/>
    </row>
    <row r="21" spans="1:12" x14ac:dyDescent="0.3">
      <c r="A21" s="15" t="s">
        <v>849</v>
      </c>
      <c r="B21" s="35" t="s">
        <v>347</v>
      </c>
      <c r="C21" s="7" t="s">
        <v>348</v>
      </c>
      <c r="D21" s="4">
        <v>2</v>
      </c>
      <c r="E21" s="15">
        <v>0</v>
      </c>
      <c r="F21" s="27">
        <v>2</v>
      </c>
      <c r="G21" s="4"/>
      <c r="H21" s="4"/>
      <c r="I21" s="4"/>
      <c r="J21" s="4"/>
      <c r="K21" s="4"/>
      <c r="L21" s="4"/>
    </row>
    <row r="22" spans="1:12" x14ac:dyDescent="0.3">
      <c r="A22" s="15" t="s">
        <v>849</v>
      </c>
      <c r="B22" s="35" t="s">
        <v>350</v>
      </c>
      <c r="C22" s="7" t="s">
        <v>351</v>
      </c>
      <c r="D22" s="4">
        <v>4</v>
      </c>
      <c r="E22" s="15"/>
      <c r="F22" s="27"/>
      <c r="G22" s="4"/>
      <c r="H22" s="4">
        <v>2</v>
      </c>
      <c r="I22" s="4"/>
      <c r="J22" s="4">
        <v>2</v>
      </c>
      <c r="K22" s="4"/>
      <c r="L22" s="4"/>
    </row>
    <row r="23" spans="1:12" x14ac:dyDescent="0.3">
      <c r="A23" s="15" t="s">
        <v>849</v>
      </c>
      <c r="B23" s="35" t="s">
        <v>353</v>
      </c>
      <c r="C23" s="7" t="s">
        <v>354</v>
      </c>
      <c r="D23" s="4">
        <v>6</v>
      </c>
      <c r="E23" s="15">
        <v>2</v>
      </c>
      <c r="F23" s="27"/>
      <c r="G23" s="4"/>
      <c r="H23" s="4">
        <v>2</v>
      </c>
      <c r="I23" s="4"/>
      <c r="J23" s="4"/>
      <c r="K23" s="4"/>
      <c r="L23" s="4">
        <v>2</v>
      </c>
    </row>
    <row r="24" spans="1:12" x14ac:dyDescent="0.3">
      <c r="A24" s="15" t="s">
        <v>849</v>
      </c>
      <c r="B24" s="35" t="s">
        <v>338</v>
      </c>
      <c r="C24" s="7" t="s">
        <v>339</v>
      </c>
      <c r="D24" s="4">
        <v>27</v>
      </c>
      <c r="E24" s="15">
        <v>0</v>
      </c>
      <c r="F24" s="27">
        <v>6</v>
      </c>
      <c r="G24" s="4">
        <v>17</v>
      </c>
      <c r="H24" s="4">
        <v>4</v>
      </c>
      <c r="I24" s="4"/>
      <c r="J24" s="4"/>
      <c r="K24" s="4"/>
      <c r="L24" s="4"/>
    </row>
    <row r="25" spans="1:12" x14ac:dyDescent="0.3">
      <c r="A25" s="15" t="s">
        <v>849</v>
      </c>
      <c r="B25" s="35" t="s">
        <v>341</v>
      </c>
      <c r="C25" s="7" t="s">
        <v>342</v>
      </c>
      <c r="D25" s="4">
        <v>71</v>
      </c>
      <c r="E25" s="15">
        <v>18</v>
      </c>
      <c r="F25" s="27">
        <v>12</v>
      </c>
      <c r="G25" s="4">
        <v>8</v>
      </c>
      <c r="H25" s="4">
        <v>12</v>
      </c>
      <c r="I25" s="4"/>
      <c r="J25" s="4">
        <v>8</v>
      </c>
      <c r="K25" s="4"/>
      <c r="L25" s="4">
        <v>13</v>
      </c>
    </row>
    <row r="26" spans="1:12" x14ac:dyDescent="0.3">
      <c r="A26" s="15"/>
      <c r="B26" s="7" t="s">
        <v>743</v>
      </c>
      <c r="C26" s="7" t="s">
        <v>744</v>
      </c>
      <c r="D26" s="15">
        <v>2</v>
      </c>
      <c r="E26" s="15"/>
      <c r="F26" s="27"/>
      <c r="G26" s="4"/>
      <c r="H26" s="4"/>
      <c r="I26" s="4"/>
      <c r="J26" s="4"/>
      <c r="K26" s="4"/>
      <c r="L26" s="4">
        <v>2</v>
      </c>
    </row>
    <row r="27" spans="1:12" x14ac:dyDescent="0.3">
      <c r="A27" s="15" t="s">
        <v>858</v>
      </c>
      <c r="B27" s="15" t="s">
        <v>858</v>
      </c>
      <c r="C27" s="7" t="s">
        <v>859</v>
      </c>
      <c r="D27" s="4">
        <v>8</v>
      </c>
      <c r="E27" s="15">
        <v>8</v>
      </c>
      <c r="F27" s="27">
        <v>0</v>
      </c>
      <c r="G27" s="4"/>
      <c r="H27" s="4"/>
      <c r="I27" s="4"/>
      <c r="J27" s="4"/>
      <c r="K27" s="4"/>
      <c r="L27" s="4"/>
    </row>
    <row r="28" spans="1:12" x14ac:dyDescent="0.3">
      <c r="A28" s="15" t="s">
        <v>858</v>
      </c>
      <c r="B28" s="15" t="s">
        <v>858</v>
      </c>
      <c r="C28" s="7" t="s">
        <v>860</v>
      </c>
      <c r="D28" s="4">
        <v>12</v>
      </c>
      <c r="E28" s="15">
        <v>12</v>
      </c>
      <c r="F28" s="27">
        <v>0</v>
      </c>
      <c r="G28" s="4"/>
      <c r="H28" s="4"/>
      <c r="I28" s="4"/>
      <c r="J28" s="4"/>
      <c r="K28" s="4"/>
      <c r="L28" s="4"/>
    </row>
    <row r="29" spans="1:12" x14ac:dyDescent="0.3">
      <c r="A29" s="15" t="s">
        <v>858</v>
      </c>
      <c r="B29" s="15" t="s">
        <v>858</v>
      </c>
      <c r="C29" s="16" t="s">
        <v>34</v>
      </c>
      <c r="D29" s="4">
        <v>1</v>
      </c>
      <c r="E29" s="15">
        <v>1</v>
      </c>
      <c r="F29" s="27">
        <v>0</v>
      </c>
      <c r="G29" s="4"/>
      <c r="H29" s="4"/>
      <c r="I29" s="4"/>
      <c r="J29" s="4"/>
      <c r="K29" s="4"/>
      <c r="L29" s="4"/>
    </row>
    <row r="30" spans="1:12" x14ac:dyDescent="0.3">
      <c r="A30" s="15" t="s">
        <v>858</v>
      </c>
      <c r="B30" s="15" t="s">
        <v>858</v>
      </c>
      <c r="C30" s="16" t="s">
        <v>38</v>
      </c>
      <c r="D30" s="4">
        <v>2</v>
      </c>
      <c r="E30" s="15">
        <v>2</v>
      </c>
      <c r="F30" s="27">
        <v>0</v>
      </c>
      <c r="G30" s="4"/>
      <c r="H30" s="4"/>
      <c r="I30" s="4"/>
      <c r="J30" s="4"/>
      <c r="K30" s="4"/>
      <c r="L30" s="4"/>
    </row>
    <row r="31" spans="1:12" x14ac:dyDescent="0.3">
      <c r="A31" s="15" t="s">
        <v>858</v>
      </c>
      <c r="B31" s="15" t="s">
        <v>858</v>
      </c>
      <c r="C31" s="16" t="s">
        <v>40</v>
      </c>
      <c r="D31" s="4">
        <v>2</v>
      </c>
      <c r="E31" s="15">
        <v>1</v>
      </c>
      <c r="F31" s="27">
        <v>1</v>
      </c>
      <c r="G31" s="4"/>
      <c r="H31" s="4"/>
      <c r="I31" s="4"/>
      <c r="J31" s="4"/>
      <c r="K31" s="4"/>
      <c r="L31" s="4"/>
    </row>
    <row r="32" spans="1:12" x14ac:dyDescent="0.3">
      <c r="A32" s="15" t="s">
        <v>858</v>
      </c>
      <c r="B32" s="15" t="s">
        <v>858</v>
      </c>
      <c r="C32" s="16" t="s">
        <v>861</v>
      </c>
      <c r="D32" s="4">
        <v>3</v>
      </c>
      <c r="E32" s="15">
        <v>0</v>
      </c>
      <c r="F32" s="27">
        <v>2</v>
      </c>
      <c r="G32" s="4">
        <v>1</v>
      </c>
      <c r="H32" s="4"/>
      <c r="I32" s="4"/>
      <c r="J32" s="4"/>
      <c r="K32" s="4"/>
      <c r="L32" s="4"/>
    </row>
    <row r="33" spans="1:12" x14ac:dyDescent="0.3">
      <c r="A33" s="15" t="s">
        <v>858</v>
      </c>
      <c r="B33" s="15" t="s">
        <v>858</v>
      </c>
      <c r="C33" s="16" t="s">
        <v>48</v>
      </c>
      <c r="D33" s="4">
        <v>1</v>
      </c>
      <c r="E33" s="15">
        <v>1</v>
      </c>
      <c r="F33" s="27">
        <v>0</v>
      </c>
      <c r="G33" s="4"/>
      <c r="H33" s="4"/>
      <c r="I33" s="4"/>
      <c r="J33" s="4"/>
      <c r="K33" s="4"/>
      <c r="L33" s="4"/>
    </row>
    <row r="34" spans="1:12" x14ac:dyDescent="0.3">
      <c r="A34" s="15" t="s">
        <v>858</v>
      </c>
      <c r="B34" s="15" t="s">
        <v>858</v>
      </c>
      <c r="C34" s="16" t="s">
        <v>50</v>
      </c>
      <c r="D34" s="4">
        <v>1</v>
      </c>
      <c r="E34" s="15">
        <v>1</v>
      </c>
      <c r="F34" s="27">
        <v>0</v>
      </c>
      <c r="G34" s="4"/>
      <c r="H34" s="4"/>
      <c r="I34" s="4"/>
      <c r="J34" s="4"/>
      <c r="K34" s="4"/>
      <c r="L34" s="4"/>
    </row>
    <row r="35" spans="1:12" x14ac:dyDescent="0.3">
      <c r="A35" s="15" t="s">
        <v>858</v>
      </c>
      <c r="B35" s="15" t="s">
        <v>858</v>
      </c>
      <c r="C35" s="16" t="s">
        <v>52</v>
      </c>
      <c r="D35" s="4">
        <v>8</v>
      </c>
      <c r="E35" s="15">
        <v>0</v>
      </c>
      <c r="F35" s="27">
        <v>4</v>
      </c>
      <c r="G35" s="4">
        <v>2</v>
      </c>
      <c r="H35" s="4"/>
      <c r="I35" s="4">
        <v>2</v>
      </c>
      <c r="J35" s="4">
        <v>2</v>
      </c>
      <c r="K35" s="4"/>
      <c r="L35" s="4"/>
    </row>
    <row r="36" spans="1:12" x14ac:dyDescent="0.3">
      <c r="A36" s="15" t="s">
        <v>858</v>
      </c>
      <c r="B36" s="15" t="s">
        <v>858</v>
      </c>
      <c r="C36" s="16" t="s">
        <v>55</v>
      </c>
      <c r="D36" s="56">
        <v>5</v>
      </c>
      <c r="E36" s="15"/>
      <c r="F36" s="27"/>
      <c r="G36" s="56">
        <v>1</v>
      </c>
      <c r="H36" s="56"/>
      <c r="I36" s="56">
        <v>2</v>
      </c>
      <c r="J36" s="56">
        <v>2</v>
      </c>
      <c r="K36" s="42"/>
      <c r="L36" s="42"/>
    </row>
    <row r="37" spans="1:12" x14ac:dyDescent="0.3">
      <c r="A37" s="15" t="s">
        <v>858</v>
      </c>
      <c r="B37" s="15" t="s">
        <v>858</v>
      </c>
      <c r="C37" s="16" t="s">
        <v>862</v>
      </c>
      <c r="D37" s="56">
        <v>3</v>
      </c>
      <c r="E37" s="15"/>
      <c r="F37" s="27"/>
      <c r="G37" s="56"/>
      <c r="H37" s="56"/>
      <c r="I37" s="56"/>
      <c r="J37" s="56">
        <v>3</v>
      </c>
      <c r="K37" s="42"/>
      <c r="L37" s="42"/>
    </row>
    <row r="38" spans="1:12" x14ac:dyDescent="0.3">
      <c r="A38" s="15" t="s">
        <v>858</v>
      </c>
      <c r="B38" s="15" t="s">
        <v>858</v>
      </c>
      <c r="C38" s="16" t="s">
        <v>863</v>
      </c>
      <c r="D38" s="4">
        <v>1</v>
      </c>
      <c r="E38" s="15">
        <v>0</v>
      </c>
      <c r="F38" s="27">
        <v>0</v>
      </c>
      <c r="G38" s="4">
        <v>1</v>
      </c>
      <c r="H38" s="4"/>
      <c r="I38" s="4"/>
      <c r="J38" s="4"/>
      <c r="K38" s="4"/>
      <c r="L38" s="4"/>
    </row>
    <row r="39" spans="1:12" x14ac:dyDescent="0.3">
      <c r="A39" s="15" t="s">
        <v>858</v>
      </c>
      <c r="B39" s="15" t="s">
        <v>858</v>
      </c>
      <c r="C39" s="16" t="s">
        <v>864</v>
      </c>
      <c r="D39" s="4">
        <v>2</v>
      </c>
      <c r="E39" s="15">
        <v>0</v>
      </c>
      <c r="F39" s="27">
        <v>0</v>
      </c>
      <c r="G39" s="4">
        <v>0</v>
      </c>
      <c r="H39" s="4">
        <v>0</v>
      </c>
      <c r="I39" s="4">
        <v>1</v>
      </c>
      <c r="J39" s="4">
        <v>1</v>
      </c>
      <c r="K39" s="4"/>
      <c r="L39" s="4"/>
    </row>
    <row r="40" spans="1:12" x14ac:dyDescent="0.3">
      <c r="A40" s="15" t="s">
        <v>858</v>
      </c>
      <c r="B40" s="15" t="s">
        <v>858</v>
      </c>
      <c r="C40" s="16" t="s">
        <v>83</v>
      </c>
      <c r="D40" s="4">
        <v>1</v>
      </c>
      <c r="E40" s="15"/>
      <c r="F40" s="27"/>
      <c r="G40" s="4"/>
      <c r="H40" s="4"/>
      <c r="I40" s="4"/>
      <c r="J40" s="4">
        <v>1</v>
      </c>
      <c r="K40" s="4"/>
      <c r="L40" s="4"/>
    </row>
    <row r="41" spans="1:12" x14ac:dyDescent="0.3">
      <c r="A41" s="15" t="s">
        <v>858</v>
      </c>
      <c r="B41" s="15" t="s">
        <v>858</v>
      </c>
      <c r="C41" s="16" t="s">
        <v>85</v>
      </c>
      <c r="D41" s="4">
        <v>1</v>
      </c>
      <c r="E41" s="15"/>
      <c r="F41" s="27"/>
      <c r="G41" s="4"/>
      <c r="H41" s="4"/>
      <c r="I41" s="4">
        <v>1</v>
      </c>
      <c r="J41" s="4"/>
      <c r="K41" s="4"/>
      <c r="L41" s="4"/>
    </row>
    <row r="42" spans="1:12" x14ac:dyDescent="0.3">
      <c r="A42" s="15" t="s">
        <v>849</v>
      </c>
      <c r="B42" s="2" t="s">
        <v>187</v>
      </c>
      <c r="C42" s="5" t="s">
        <v>188</v>
      </c>
      <c r="D42" s="4">
        <v>31</v>
      </c>
      <c r="E42" s="15">
        <v>10</v>
      </c>
      <c r="F42" s="27">
        <v>6</v>
      </c>
      <c r="G42" s="4">
        <v>5</v>
      </c>
      <c r="H42" s="4">
        <v>4</v>
      </c>
      <c r="I42" s="4"/>
      <c r="J42" s="4"/>
      <c r="K42" s="4"/>
      <c r="L42" s="4">
        <v>6</v>
      </c>
    </row>
    <row r="43" spans="1:12" x14ac:dyDescent="0.3">
      <c r="A43" s="15" t="s">
        <v>849</v>
      </c>
      <c r="B43" t="s">
        <v>190</v>
      </c>
      <c r="C43" s="7" t="s">
        <v>191</v>
      </c>
      <c r="D43" s="4">
        <v>4</v>
      </c>
      <c r="E43" s="15">
        <v>3</v>
      </c>
      <c r="F43" s="27">
        <v>1</v>
      </c>
      <c r="G43" s="4"/>
      <c r="H43" s="4"/>
      <c r="I43" s="4"/>
      <c r="J43" s="4"/>
      <c r="K43" s="4"/>
      <c r="L43" s="4"/>
    </row>
    <row r="44" spans="1:12" x14ac:dyDescent="0.3">
      <c r="A44" s="15" t="s">
        <v>849</v>
      </c>
      <c r="B44" t="s">
        <v>193</v>
      </c>
      <c r="C44" s="7" t="s">
        <v>194</v>
      </c>
      <c r="D44" s="4">
        <v>4</v>
      </c>
      <c r="E44" s="15">
        <v>3</v>
      </c>
      <c r="F44" s="27">
        <v>1</v>
      </c>
      <c r="G44" s="4"/>
      <c r="H44" s="4"/>
      <c r="I44" s="4"/>
      <c r="J44" s="4"/>
      <c r="K44" s="4"/>
      <c r="L44" s="4"/>
    </row>
    <row r="45" spans="1:12" x14ac:dyDescent="0.3">
      <c r="A45" s="15" t="s">
        <v>849</v>
      </c>
      <c r="B45" t="s">
        <v>196</v>
      </c>
      <c r="C45" s="7" t="s">
        <v>197</v>
      </c>
      <c r="D45" s="4">
        <v>5</v>
      </c>
      <c r="E45" s="15">
        <v>2</v>
      </c>
      <c r="F45" s="27">
        <v>1</v>
      </c>
      <c r="G45" s="4">
        <v>0</v>
      </c>
      <c r="H45" s="4"/>
      <c r="I45" s="4"/>
      <c r="J45" s="4"/>
      <c r="K45" s="4"/>
      <c r="L45" s="4"/>
    </row>
    <row r="46" spans="1:12" x14ac:dyDescent="0.3">
      <c r="A46" s="15" t="s">
        <v>849</v>
      </c>
      <c r="B46" t="s">
        <v>199</v>
      </c>
      <c r="C46" s="7" t="s">
        <v>200</v>
      </c>
      <c r="D46" s="4">
        <v>43</v>
      </c>
      <c r="E46" s="15">
        <v>11</v>
      </c>
      <c r="F46" s="27">
        <v>16</v>
      </c>
      <c r="G46" s="4">
        <v>12</v>
      </c>
      <c r="H46" s="4">
        <v>4</v>
      </c>
      <c r="I46" s="4"/>
      <c r="J46" s="4"/>
      <c r="K46" s="4"/>
      <c r="L46" s="4"/>
    </row>
    <row r="47" spans="1:12" x14ac:dyDescent="0.3">
      <c r="A47" s="15" t="s">
        <v>849</v>
      </c>
      <c r="B47" t="s">
        <v>202</v>
      </c>
      <c r="C47" s="7" t="s">
        <v>203</v>
      </c>
      <c r="D47" s="4">
        <v>4</v>
      </c>
      <c r="E47" s="15">
        <v>1</v>
      </c>
      <c r="F47" s="27">
        <v>0</v>
      </c>
      <c r="G47" s="4"/>
      <c r="H47" s="4">
        <v>2</v>
      </c>
      <c r="I47" s="4"/>
      <c r="J47" s="4"/>
      <c r="K47" s="4"/>
      <c r="L47" s="4">
        <v>1</v>
      </c>
    </row>
    <row r="48" spans="1:12" x14ac:dyDescent="0.3">
      <c r="A48" s="15" t="s">
        <v>849</v>
      </c>
      <c r="B48" t="s">
        <v>205</v>
      </c>
      <c r="C48" s="7" t="s">
        <v>206</v>
      </c>
      <c r="D48" s="4">
        <v>3</v>
      </c>
      <c r="E48" s="15">
        <v>2</v>
      </c>
      <c r="F48" s="27">
        <v>1</v>
      </c>
      <c r="G48" s="4"/>
      <c r="H48" s="4"/>
      <c r="I48" s="4"/>
      <c r="J48" s="4"/>
      <c r="K48" s="4"/>
      <c r="L48" s="4"/>
    </row>
    <row r="49" spans="1:12" x14ac:dyDescent="0.3">
      <c r="A49" s="15" t="s">
        <v>849</v>
      </c>
      <c r="B49" t="s">
        <v>208</v>
      </c>
      <c r="C49" s="17" t="s">
        <v>209</v>
      </c>
      <c r="D49" s="4">
        <v>7</v>
      </c>
      <c r="E49" s="15">
        <v>5</v>
      </c>
      <c r="F49" s="27">
        <v>2</v>
      </c>
      <c r="G49" s="4"/>
      <c r="H49" s="4"/>
      <c r="I49" s="4"/>
      <c r="J49" s="4"/>
      <c r="K49" s="4"/>
      <c r="L49" s="4"/>
    </row>
    <row r="50" spans="1:12" x14ac:dyDescent="0.3">
      <c r="A50" s="15" t="s">
        <v>849</v>
      </c>
      <c r="B50" t="s">
        <v>211</v>
      </c>
      <c r="C50" s="7" t="s">
        <v>212</v>
      </c>
      <c r="D50" s="4">
        <v>7</v>
      </c>
      <c r="E50" s="15">
        <v>4</v>
      </c>
      <c r="F50" s="27">
        <v>3</v>
      </c>
      <c r="G50" s="4"/>
      <c r="H50" s="4"/>
      <c r="I50" s="4"/>
      <c r="J50" s="4"/>
      <c r="K50" s="4"/>
      <c r="L50" s="4"/>
    </row>
    <row r="51" spans="1:12" x14ac:dyDescent="0.3">
      <c r="A51" s="15" t="s">
        <v>849</v>
      </c>
      <c r="B51" t="s">
        <v>214</v>
      </c>
      <c r="C51" s="17" t="s">
        <v>209</v>
      </c>
      <c r="D51" s="4">
        <v>3</v>
      </c>
      <c r="E51" s="15">
        <v>2</v>
      </c>
      <c r="F51" s="27">
        <v>1</v>
      </c>
      <c r="G51" s="4"/>
      <c r="H51" s="4"/>
      <c r="I51" s="4"/>
      <c r="J51" s="4"/>
      <c r="K51" s="4"/>
      <c r="L51" s="4"/>
    </row>
    <row r="52" spans="1:12" x14ac:dyDescent="0.3">
      <c r="A52" s="15" t="s">
        <v>849</v>
      </c>
      <c r="B52" t="s">
        <v>216</v>
      </c>
      <c r="C52" s="7" t="s">
        <v>217</v>
      </c>
      <c r="D52" s="4">
        <v>3</v>
      </c>
      <c r="E52" s="15">
        <v>2</v>
      </c>
      <c r="F52" s="27">
        <v>1</v>
      </c>
      <c r="G52" s="4"/>
      <c r="H52" s="4"/>
      <c r="I52" s="4"/>
      <c r="J52" s="4"/>
      <c r="K52" s="4"/>
      <c r="L52" s="4"/>
    </row>
    <row r="53" spans="1:12" x14ac:dyDescent="0.3">
      <c r="A53" s="15" t="s">
        <v>849</v>
      </c>
      <c r="B53" t="s">
        <v>219</v>
      </c>
      <c r="C53" s="7" t="s">
        <v>220</v>
      </c>
      <c r="D53" s="4">
        <v>6</v>
      </c>
      <c r="E53" s="15">
        <v>3</v>
      </c>
      <c r="F53" s="27">
        <v>2</v>
      </c>
      <c r="G53" s="4">
        <v>1</v>
      </c>
      <c r="H53" s="4"/>
      <c r="I53" s="4"/>
      <c r="J53" s="4"/>
      <c r="K53" s="4"/>
      <c r="L53" s="4"/>
    </row>
    <row r="54" spans="1:12" x14ac:dyDescent="0.3">
      <c r="A54" s="15" t="s">
        <v>849</v>
      </c>
      <c r="B54" t="s">
        <v>222</v>
      </c>
      <c r="C54" s="7" t="s">
        <v>223</v>
      </c>
      <c r="D54" s="4">
        <v>4</v>
      </c>
      <c r="E54" s="15">
        <v>3</v>
      </c>
      <c r="F54" s="27">
        <v>1</v>
      </c>
      <c r="G54" s="4"/>
      <c r="H54" s="4"/>
      <c r="I54" s="4"/>
      <c r="J54" s="4"/>
      <c r="K54" s="4"/>
      <c r="L54" s="4"/>
    </row>
    <row r="55" spans="1:12" x14ac:dyDescent="0.3">
      <c r="A55" s="15" t="s">
        <v>849</v>
      </c>
      <c r="B55" t="s">
        <v>225</v>
      </c>
      <c r="C55" s="7" t="s">
        <v>226</v>
      </c>
      <c r="D55" s="4">
        <v>1</v>
      </c>
      <c r="E55" s="15">
        <v>1</v>
      </c>
      <c r="F55" s="27">
        <v>0</v>
      </c>
      <c r="G55" s="4"/>
      <c r="H55" s="4"/>
      <c r="I55" s="4"/>
      <c r="J55" s="4"/>
      <c r="K55" s="4"/>
      <c r="L55" s="4"/>
    </row>
    <row r="56" spans="1:12" x14ac:dyDescent="0.3">
      <c r="A56" s="15" t="s">
        <v>849</v>
      </c>
      <c r="B56" t="s">
        <v>228</v>
      </c>
      <c r="C56" s="7" t="s">
        <v>229</v>
      </c>
      <c r="D56" s="4">
        <v>7</v>
      </c>
      <c r="E56" s="15">
        <v>3</v>
      </c>
      <c r="F56" s="27">
        <v>2</v>
      </c>
      <c r="G56" s="4">
        <v>2</v>
      </c>
      <c r="H56" s="4"/>
      <c r="I56" s="4"/>
      <c r="J56" s="4"/>
      <c r="K56" s="4"/>
      <c r="L56" s="4"/>
    </row>
    <row r="57" spans="1:12" x14ac:dyDescent="0.3">
      <c r="A57" s="15" t="s">
        <v>849</v>
      </c>
      <c r="B57" t="s">
        <v>231</v>
      </c>
      <c r="C57" s="7" t="s">
        <v>232</v>
      </c>
      <c r="D57" s="4">
        <v>8</v>
      </c>
      <c r="E57" s="15">
        <v>8</v>
      </c>
      <c r="F57" s="27">
        <v>0</v>
      </c>
      <c r="G57" s="4"/>
      <c r="H57" s="4"/>
      <c r="I57" s="4"/>
      <c r="J57" s="4"/>
      <c r="K57" s="4"/>
      <c r="L57" s="4"/>
    </row>
    <row r="58" spans="1:12" x14ac:dyDescent="0.3">
      <c r="A58" s="15" t="s">
        <v>849</v>
      </c>
      <c r="B58" t="s">
        <v>234</v>
      </c>
      <c r="C58" s="7" t="s">
        <v>235</v>
      </c>
      <c r="D58" s="4">
        <v>1</v>
      </c>
      <c r="E58" s="15">
        <v>1</v>
      </c>
      <c r="F58" s="27">
        <v>0</v>
      </c>
      <c r="G58" s="4"/>
      <c r="H58" s="4"/>
      <c r="I58" s="4"/>
      <c r="J58" s="4"/>
      <c r="K58" s="4"/>
      <c r="L58" s="4"/>
    </row>
    <row r="59" spans="1:12" x14ac:dyDescent="0.3">
      <c r="A59" s="15" t="s">
        <v>849</v>
      </c>
      <c r="B59" t="s">
        <v>237</v>
      </c>
      <c r="C59" s="7" t="s">
        <v>238</v>
      </c>
      <c r="D59" s="4">
        <v>4</v>
      </c>
      <c r="E59" s="15">
        <v>3</v>
      </c>
      <c r="F59" s="27">
        <v>0</v>
      </c>
      <c r="G59" s="4"/>
      <c r="H59" s="4"/>
      <c r="I59" s="4"/>
      <c r="J59" s="4"/>
      <c r="K59" s="4"/>
      <c r="L59" s="4">
        <v>1</v>
      </c>
    </row>
    <row r="60" spans="1:12" x14ac:dyDescent="0.3">
      <c r="A60" s="15" t="s">
        <v>849</v>
      </c>
      <c r="B60" t="s">
        <v>240</v>
      </c>
      <c r="C60" s="7" t="s">
        <v>241</v>
      </c>
      <c r="D60" s="4">
        <v>2</v>
      </c>
      <c r="E60" s="15">
        <v>1</v>
      </c>
      <c r="F60" s="27">
        <v>0</v>
      </c>
      <c r="G60" s="4"/>
      <c r="H60" s="4"/>
      <c r="I60" s="4"/>
      <c r="J60" s="4"/>
      <c r="K60" s="4"/>
      <c r="L60" s="4">
        <v>1</v>
      </c>
    </row>
    <row r="61" spans="1:12" x14ac:dyDescent="0.3">
      <c r="A61" s="15" t="s">
        <v>849</v>
      </c>
      <c r="B61" t="s">
        <v>243</v>
      </c>
      <c r="C61" s="7" t="s">
        <v>244</v>
      </c>
      <c r="D61" s="4">
        <v>1</v>
      </c>
      <c r="E61" s="15">
        <v>1</v>
      </c>
      <c r="F61" s="27">
        <v>0</v>
      </c>
      <c r="G61" s="4"/>
      <c r="H61" s="4"/>
      <c r="I61" s="4"/>
      <c r="J61" s="4"/>
      <c r="K61" s="4"/>
      <c r="L61" s="4"/>
    </row>
    <row r="62" spans="1:12" x14ac:dyDescent="0.3">
      <c r="A62" s="15" t="s">
        <v>849</v>
      </c>
      <c r="B62" t="s">
        <v>246</v>
      </c>
      <c r="C62" s="7" t="s">
        <v>247</v>
      </c>
      <c r="D62" s="4">
        <v>1</v>
      </c>
      <c r="E62" s="15">
        <v>1</v>
      </c>
      <c r="F62" s="27">
        <v>0</v>
      </c>
      <c r="G62" s="4"/>
      <c r="H62" s="4"/>
      <c r="I62" s="4"/>
      <c r="J62" s="4"/>
      <c r="K62" s="4"/>
      <c r="L62" s="4"/>
    </row>
    <row r="63" spans="1:12" x14ac:dyDescent="0.3">
      <c r="A63" s="15" t="s">
        <v>849</v>
      </c>
      <c r="B63" t="s">
        <v>249</v>
      </c>
      <c r="C63" s="7" t="s">
        <v>250</v>
      </c>
      <c r="D63" s="4">
        <v>1</v>
      </c>
      <c r="E63" s="15">
        <v>1</v>
      </c>
      <c r="F63" s="27">
        <v>0</v>
      </c>
      <c r="G63" s="4"/>
      <c r="H63" s="4"/>
      <c r="I63" s="4"/>
      <c r="J63" s="4"/>
      <c r="K63" s="4"/>
      <c r="L63" s="4"/>
    </row>
    <row r="64" spans="1:12" x14ac:dyDescent="0.3">
      <c r="A64" s="15" t="s">
        <v>849</v>
      </c>
      <c r="B64" t="s">
        <v>252</v>
      </c>
      <c r="C64" s="7" t="s">
        <v>253</v>
      </c>
      <c r="D64" s="4">
        <v>6</v>
      </c>
      <c r="E64" s="15">
        <v>4</v>
      </c>
      <c r="F64" s="27">
        <v>2</v>
      </c>
      <c r="G64" s="4"/>
      <c r="H64" s="4"/>
      <c r="I64" s="4"/>
      <c r="J64" s="4"/>
      <c r="K64" s="4"/>
      <c r="L64" s="4"/>
    </row>
    <row r="65" spans="1:12" x14ac:dyDescent="0.3">
      <c r="A65" s="15" t="s">
        <v>849</v>
      </c>
      <c r="B65" t="s">
        <v>255</v>
      </c>
      <c r="C65" s="7" t="s">
        <v>256</v>
      </c>
      <c r="D65" s="4">
        <v>4</v>
      </c>
      <c r="E65" s="15">
        <v>3</v>
      </c>
      <c r="F65" s="27">
        <v>0</v>
      </c>
      <c r="G65" s="4"/>
      <c r="H65" s="4"/>
      <c r="I65" s="4"/>
      <c r="J65" s="4"/>
      <c r="K65" s="4"/>
      <c r="L65" s="4"/>
    </row>
    <row r="66" spans="1:12" x14ac:dyDescent="0.3">
      <c r="A66" s="15" t="s">
        <v>849</v>
      </c>
      <c r="B66" t="s">
        <v>258</v>
      </c>
      <c r="C66" s="7" t="s">
        <v>259</v>
      </c>
      <c r="D66" s="4">
        <v>1</v>
      </c>
      <c r="E66" s="15">
        <v>1</v>
      </c>
      <c r="F66" s="27">
        <v>0</v>
      </c>
      <c r="G66" s="15"/>
      <c r="H66" s="15"/>
      <c r="I66" s="15"/>
      <c r="J66" s="15"/>
      <c r="K66" s="15"/>
      <c r="L66" s="15"/>
    </row>
    <row r="67" spans="1:12" x14ac:dyDescent="0.3">
      <c r="A67" s="15" t="s">
        <v>849</v>
      </c>
      <c r="B67" t="s">
        <v>261</v>
      </c>
      <c r="C67" s="7" t="s">
        <v>262</v>
      </c>
      <c r="D67" s="4">
        <v>3</v>
      </c>
      <c r="E67" s="15">
        <v>1</v>
      </c>
      <c r="F67" s="27">
        <v>2</v>
      </c>
      <c r="G67" s="15"/>
      <c r="H67" s="15"/>
      <c r="I67" s="15"/>
      <c r="J67" s="15"/>
      <c r="K67" s="15"/>
      <c r="L67" s="15"/>
    </row>
    <row r="68" spans="1:12" x14ac:dyDescent="0.3">
      <c r="A68" s="15" t="s">
        <v>849</v>
      </c>
      <c r="B68" t="s">
        <v>264</v>
      </c>
      <c r="C68" s="7" t="s">
        <v>265</v>
      </c>
      <c r="D68" s="4">
        <v>3</v>
      </c>
      <c r="E68" s="15">
        <v>1</v>
      </c>
      <c r="F68" s="27">
        <v>2</v>
      </c>
      <c r="G68" s="15"/>
      <c r="H68" s="15"/>
      <c r="I68" s="15"/>
      <c r="J68" s="15"/>
      <c r="K68" s="15"/>
      <c r="L68" s="15"/>
    </row>
    <row r="69" spans="1:12" x14ac:dyDescent="0.3">
      <c r="A69" s="15" t="s">
        <v>849</v>
      </c>
      <c r="B69" t="s">
        <v>267</v>
      </c>
      <c r="C69" s="7" t="s">
        <v>268</v>
      </c>
      <c r="D69" s="4">
        <v>2</v>
      </c>
      <c r="E69" s="15">
        <v>2</v>
      </c>
      <c r="F69" s="27">
        <v>0</v>
      </c>
      <c r="G69" s="15"/>
      <c r="H69" s="15"/>
      <c r="I69" s="15"/>
      <c r="J69" s="15"/>
      <c r="K69" s="15"/>
      <c r="L69" s="15"/>
    </row>
    <row r="70" spans="1:12" x14ac:dyDescent="0.3">
      <c r="A70" s="15" t="s">
        <v>849</v>
      </c>
      <c r="B70" t="s">
        <v>270</v>
      </c>
      <c r="C70" s="7" t="s">
        <v>271</v>
      </c>
      <c r="D70" s="4">
        <v>1</v>
      </c>
      <c r="E70" s="15">
        <v>1</v>
      </c>
      <c r="F70" s="27">
        <v>0</v>
      </c>
      <c r="G70" s="15"/>
      <c r="H70" s="15"/>
      <c r="I70" s="15"/>
      <c r="J70" s="15"/>
      <c r="K70" s="15"/>
      <c r="L70" s="15"/>
    </row>
    <row r="71" spans="1:12" x14ac:dyDescent="0.3">
      <c r="A71" s="15" t="s">
        <v>849</v>
      </c>
      <c r="B71" t="s">
        <v>273</v>
      </c>
      <c r="C71" s="7" t="s">
        <v>274</v>
      </c>
      <c r="D71" s="4">
        <v>1</v>
      </c>
      <c r="E71" s="15">
        <v>1</v>
      </c>
      <c r="F71" s="27">
        <v>0</v>
      </c>
      <c r="G71" s="15"/>
      <c r="H71" s="15"/>
      <c r="I71" s="15"/>
      <c r="J71" s="15"/>
      <c r="K71" s="15"/>
      <c r="L71" s="15"/>
    </row>
    <row r="72" spans="1:12" x14ac:dyDescent="0.3">
      <c r="A72" s="15" t="s">
        <v>849</v>
      </c>
      <c r="B72" t="s">
        <v>276</v>
      </c>
      <c r="C72" s="7" t="s">
        <v>277</v>
      </c>
      <c r="D72" s="4">
        <v>2</v>
      </c>
      <c r="E72" s="15">
        <v>1</v>
      </c>
      <c r="F72" s="27">
        <v>1</v>
      </c>
      <c r="G72" s="15"/>
      <c r="H72" s="15"/>
      <c r="I72" s="15"/>
      <c r="J72" s="15"/>
      <c r="K72" s="15"/>
      <c r="L72" s="15"/>
    </row>
    <row r="73" spans="1:12" x14ac:dyDescent="0.3">
      <c r="A73" s="15" t="s">
        <v>849</v>
      </c>
      <c r="B73" t="s">
        <v>279</v>
      </c>
      <c r="C73" s="7" t="s">
        <v>280</v>
      </c>
      <c r="D73" s="4">
        <v>1</v>
      </c>
      <c r="E73" s="15">
        <v>1</v>
      </c>
      <c r="F73" s="27">
        <v>0</v>
      </c>
      <c r="G73" s="15"/>
      <c r="H73" s="15"/>
      <c r="I73" s="15"/>
      <c r="J73" s="15"/>
      <c r="K73" s="15"/>
      <c r="L73" s="15"/>
    </row>
    <row r="74" spans="1:12" x14ac:dyDescent="0.3">
      <c r="A74" s="15" t="s">
        <v>849</v>
      </c>
      <c r="B74" t="s">
        <v>282</v>
      </c>
      <c r="C74" s="7" t="s">
        <v>283</v>
      </c>
      <c r="D74" s="4">
        <v>2</v>
      </c>
      <c r="E74" s="15">
        <v>1</v>
      </c>
      <c r="F74" s="27">
        <v>1</v>
      </c>
      <c r="G74" s="15"/>
      <c r="H74" s="15"/>
      <c r="I74" s="15"/>
      <c r="J74" s="15"/>
      <c r="K74" s="15"/>
      <c r="L74" s="15"/>
    </row>
    <row r="75" spans="1:12" x14ac:dyDescent="0.3">
      <c r="A75" s="15" t="s">
        <v>849</v>
      </c>
      <c r="B75" t="s">
        <v>285</v>
      </c>
      <c r="C75" s="7" t="s">
        <v>286</v>
      </c>
      <c r="D75" s="4">
        <v>6</v>
      </c>
      <c r="E75" s="15">
        <v>4</v>
      </c>
      <c r="F75" s="27">
        <v>2</v>
      </c>
      <c r="G75" s="15"/>
      <c r="H75" s="15"/>
      <c r="I75" s="15"/>
      <c r="J75" s="15"/>
      <c r="K75" s="15"/>
      <c r="L75" s="15"/>
    </row>
    <row r="76" spans="1:12" x14ac:dyDescent="0.3">
      <c r="A76" s="15" t="s">
        <v>849</v>
      </c>
      <c r="B76" t="s">
        <v>288</v>
      </c>
      <c r="C76" s="7" t="s">
        <v>289</v>
      </c>
      <c r="D76" s="4">
        <v>2</v>
      </c>
      <c r="E76" s="15">
        <v>2</v>
      </c>
      <c r="F76" s="27">
        <v>0</v>
      </c>
      <c r="G76" s="15"/>
      <c r="H76" s="15"/>
      <c r="I76" s="15"/>
      <c r="J76" s="15"/>
      <c r="K76" s="15"/>
      <c r="L76" s="15"/>
    </row>
    <row r="77" spans="1:12" x14ac:dyDescent="0.3">
      <c r="A77" s="15" t="s">
        <v>849</v>
      </c>
      <c r="B77" t="s">
        <v>291</v>
      </c>
      <c r="C77" s="7" t="s">
        <v>292</v>
      </c>
      <c r="D77" s="4">
        <v>1</v>
      </c>
      <c r="E77" s="15">
        <v>1</v>
      </c>
      <c r="F77" s="27">
        <v>0</v>
      </c>
      <c r="G77" s="15"/>
      <c r="H77" s="15"/>
      <c r="I77" s="15"/>
      <c r="J77" s="15"/>
      <c r="K77" s="15"/>
      <c r="L77" s="15"/>
    </row>
    <row r="78" spans="1:12" x14ac:dyDescent="0.3">
      <c r="A78" s="15" t="s">
        <v>849</v>
      </c>
      <c r="B78" t="s">
        <v>294</v>
      </c>
      <c r="C78" s="7" t="s">
        <v>295</v>
      </c>
      <c r="D78" s="4">
        <v>17</v>
      </c>
      <c r="E78" s="15">
        <v>4</v>
      </c>
      <c r="F78" s="27">
        <v>4</v>
      </c>
      <c r="G78" s="15">
        <v>8</v>
      </c>
      <c r="H78" s="15"/>
      <c r="I78" s="15"/>
      <c r="J78" s="15"/>
      <c r="K78" s="15"/>
      <c r="L78" s="15">
        <v>1</v>
      </c>
    </row>
    <row r="79" spans="1:12" x14ac:dyDescent="0.3">
      <c r="A79" s="15" t="s">
        <v>849</v>
      </c>
      <c r="B79" t="s">
        <v>309</v>
      </c>
      <c r="C79" s="7" t="s">
        <v>310</v>
      </c>
      <c r="D79" s="4">
        <v>20</v>
      </c>
      <c r="E79" s="15">
        <v>10</v>
      </c>
      <c r="F79" s="27">
        <v>1</v>
      </c>
      <c r="G79" s="15">
        <v>5</v>
      </c>
      <c r="H79" s="15">
        <v>2</v>
      </c>
      <c r="I79" s="15"/>
      <c r="J79" s="15"/>
      <c r="K79" s="15"/>
      <c r="L79" s="15">
        <v>2</v>
      </c>
    </row>
    <row r="80" spans="1:12" x14ac:dyDescent="0.3">
      <c r="A80" s="15" t="s">
        <v>849</v>
      </c>
      <c r="B80" t="s">
        <v>312</v>
      </c>
      <c r="C80" s="7" t="s">
        <v>313</v>
      </c>
      <c r="D80" s="4">
        <v>15</v>
      </c>
      <c r="E80" s="15">
        <v>8</v>
      </c>
      <c r="F80" s="27">
        <v>1</v>
      </c>
      <c r="G80" s="15">
        <v>2</v>
      </c>
      <c r="H80" s="15">
        <v>2</v>
      </c>
      <c r="I80" s="15"/>
      <c r="J80" s="15"/>
      <c r="K80" s="15"/>
      <c r="L80" s="15">
        <v>2</v>
      </c>
    </row>
    <row r="81" spans="1:12" x14ac:dyDescent="0.3">
      <c r="A81" s="15" t="s">
        <v>849</v>
      </c>
      <c r="B81" t="s">
        <v>315</v>
      </c>
      <c r="C81" s="7" t="s">
        <v>316</v>
      </c>
      <c r="D81" s="4">
        <v>2</v>
      </c>
      <c r="E81" s="15">
        <v>2</v>
      </c>
      <c r="F81" s="27">
        <v>0</v>
      </c>
      <c r="G81" s="15">
        <v>0</v>
      </c>
      <c r="H81" s="15"/>
      <c r="I81" s="15"/>
      <c r="J81" s="15"/>
      <c r="K81" s="15"/>
      <c r="L81" s="15"/>
    </row>
    <row r="82" spans="1:12" x14ac:dyDescent="0.3">
      <c r="A82" s="15" t="s">
        <v>849</v>
      </c>
      <c r="B82" t="s">
        <v>318</v>
      </c>
      <c r="C82" s="7" t="s">
        <v>319</v>
      </c>
      <c r="D82" s="4">
        <v>1</v>
      </c>
      <c r="E82" s="15">
        <v>1</v>
      </c>
      <c r="F82" s="27">
        <v>0</v>
      </c>
      <c r="G82" s="15"/>
      <c r="H82" s="15"/>
      <c r="I82" s="15"/>
      <c r="J82" s="15"/>
      <c r="K82" s="15"/>
      <c r="L82" s="15"/>
    </row>
    <row r="83" spans="1:12" x14ac:dyDescent="0.3">
      <c r="A83" s="15" t="s">
        <v>849</v>
      </c>
      <c r="B83" t="s">
        <v>321</v>
      </c>
      <c r="C83" s="7" t="s">
        <v>322</v>
      </c>
      <c r="D83" s="4">
        <v>8</v>
      </c>
      <c r="E83" s="15">
        <v>3</v>
      </c>
      <c r="F83" s="27">
        <v>1</v>
      </c>
      <c r="G83" s="15">
        <v>1</v>
      </c>
      <c r="H83" s="15">
        <v>2</v>
      </c>
      <c r="I83" s="15"/>
      <c r="J83" s="15"/>
      <c r="K83" s="15"/>
      <c r="L83" s="15">
        <v>1</v>
      </c>
    </row>
    <row r="84" spans="1:12" x14ac:dyDescent="0.3">
      <c r="A84" s="15" t="s">
        <v>849</v>
      </c>
      <c r="B84" t="s">
        <v>324</v>
      </c>
      <c r="C84" s="30" t="s">
        <v>325</v>
      </c>
      <c r="D84" s="31">
        <v>1</v>
      </c>
      <c r="E84" s="15">
        <v>1</v>
      </c>
      <c r="F84" s="27">
        <v>0</v>
      </c>
      <c r="G84" s="15"/>
      <c r="H84" s="15"/>
      <c r="I84" s="15"/>
      <c r="J84" s="15"/>
      <c r="K84" s="15"/>
      <c r="L84" s="15"/>
    </row>
    <row r="85" spans="1:12" x14ac:dyDescent="0.3">
      <c r="A85" s="15" t="s">
        <v>849</v>
      </c>
      <c r="B85" s="34" t="s">
        <v>327</v>
      </c>
      <c r="C85" s="7" t="s">
        <v>328</v>
      </c>
      <c r="D85" s="4">
        <v>2</v>
      </c>
      <c r="E85" s="15">
        <v>0</v>
      </c>
      <c r="F85" s="27">
        <v>2</v>
      </c>
      <c r="G85" s="15"/>
      <c r="H85" s="15"/>
      <c r="I85" s="15"/>
      <c r="J85" s="15"/>
      <c r="K85" s="15"/>
      <c r="L85" s="15"/>
    </row>
    <row r="86" spans="1:12" x14ac:dyDescent="0.3">
      <c r="A86" s="15" t="s">
        <v>849</v>
      </c>
      <c r="B86" s="34" t="s">
        <v>330</v>
      </c>
      <c r="C86" s="7" t="s">
        <v>331</v>
      </c>
      <c r="D86" s="4">
        <v>1</v>
      </c>
      <c r="E86" s="15">
        <v>0</v>
      </c>
      <c r="F86" s="27">
        <v>1</v>
      </c>
      <c r="G86" s="15"/>
      <c r="H86" s="15"/>
      <c r="I86" s="15"/>
      <c r="J86" s="15"/>
      <c r="K86" s="15"/>
      <c r="L86" s="15"/>
    </row>
    <row r="87" spans="1:12" x14ac:dyDescent="0.3">
      <c r="A87" s="15" t="s">
        <v>849</v>
      </c>
      <c r="B87" s="34" t="s">
        <v>333</v>
      </c>
      <c r="C87" s="7" t="s">
        <v>334</v>
      </c>
      <c r="D87" s="4">
        <v>2</v>
      </c>
      <c r="E87" s="15">
        <v>0</v>
      </c>
      <c r="F87" s="27">
        <v>2</v>
      </c>
      <c r="G87" s="15"/>
      <c r="H87" s="15"/>
      <c r="I87" s="15"/>
      <c r="J87" s="15"/>
      <c r="K87" s="15"/>
      <c r="L87" s="15"/>
    </row>
    <row r="88" spans="1:12" x14ac:dyDescent="0.3">
      <c r="A88" s="15" t="s">
        <v>849</v>
      </c>
      <c r="B88" s="34" t="s">
        <v>335</v>
      </c>
      <c r="C88" s="7" t="s">
        <v>336</v>
      </c>
      <c r="D88" s="4">
        <v>19</v>
      </c>
      <c r="E88" s="15">
        <v>1</v>
      </c>
      <c r="F88" s="27">
        <v>6</v>
      </c>
      <c r="G88" s="15">
        <v>6</v>
      </c>
      <c r="H88" s="15">
        <v>4</v>
      </c>
      <c r="I88" s="15"/>
      <c r="J88" s="15"/>
      <c r="K88" s="15"/>
      <c r="L88" s="15">
        <v>2</v>
      </c>
    </row>
    <row r="89" spans="1:12" x14ac:dyDescent="0.3">
      <c r="A89" s="15" t="s">
        <v>849</v>
      </c>
      <c r="B89" s="34" t="s">
        <v>338</v>
      </c>
      <c r="C89" s="7" t="s">
        <v>339</v>
      </c>
      <c r="D89" s="4">
        <v>9</v>
      </c>
      <c r="E89" s="15">
        <v>3</v>
      </c>
      <c r="F89" s="27">
        <v>2</v>
      </c>
      <c r="G89" s="4"/>
      <c r="H89" s="4"/>
      <c r="I89" s="4"/>
      <c r="J89" s="4"/>
      <c r="K89" s="4"/>
      <c r="L89" s="4">
        <v>4</v>
      </c>
    </row>
    <row r="90" spans="1:12" x14ac:dyDescent="0.3">
      <c r="A90" s="15" t="s">
        <v>849</v>
      </c>
      <c r="B90" s="34" t="s">
        <v>344</v>
      </c>
      <c r="C90" s="7" t="s">
        <v>345</v>
      </c>
      <c r="D90" s="4">
        <v>4</v>
      </c>
      <c r="E90" s="15">
        <v>0</v>
      </c>
      <c r="F90" s="27">
        <v>4</v>
      </c>
      <c r="G90" s="4"/>
      <c r="H90" s="4"/>
      <c r="I90" s="4"/>
      <c r="J90" s="4"/>
      <c r="K90" s="4"/>
      <c r="L90" s="4"/>
    </row>
    <row r="91" spans="1:12" x14ac:dyDescent="0.3">
      <c r="A91" s="15" t="s">
        <v>849</v>
      </c>
      <c r="B91" s="34" t="s">
        <v>347</v>
      </c>
      <c r="C91" s="7" t="s">
        <v>348</v>
      </c>
      <c r="D91" s="4">
        <v>2</v>
      </c>
      <c r="E91" s="15">
        <v>0</v>
      </c>
      <c r="F91" s="27">
        <v>2</v>
      </c>
      <c r="G91" s="4"/>
      <c r="H91" s="4"/>
      <c r="I91" s="4"/>
      <c r="J91" s="4"/>
      <c r="K91" s="4"/>
      <c r="L91" s="4"/>
    </row>
    <row r="92" spans="1:12" x14ac:dyDescent="0.3">
      <c r="A92" s="15" t="s">
        <v>849</v>
      </c>
      <c r="B92" s="34" t="s">
        <v>356</v>
      </c>
      <c r="C92" s="7" t="s">
        <v>357</v>
      </c>
      <c r="D92" s="4">
        <v>4</v>
      </c>
      <c r="E92" s="15">
        <v>0</v>
      </c>
      <c r="F92" s="27">
        <v>4</v>
      </c>
      <c r="G92" s="4"/>
      <c r="H92" s="4"/>
      <c r="I92" s="4"/>
      <c r="J92" s="4"/>
      <c r="K92" s="4"/>
      <c r="L92" s="4"/>
    </row>
    <row r="93" spans="1:12" x14ac:dyDescent="0.3">
      <c r="A93" s="15" t="s">
        <v>849</v>
      </c>
      <c r="B93" s="34" t="s">
        <v>359</v>
      </c>
      <c r="C93" s="7" t="s">
        <v>865</v>
      </c>
      <c r="D93" s="4">
        <v>1</v>
      </c>
      <c r="E93" s="15">
        <v>0</v>
      </c>
      <c r="F93" s="27">
        <v>1</v>
      </c>
      <c r="G93" s="4"/>
      <c r="H93" s="4"/>
      <c r="I93" s="4"/>
      <c r="J93" s="4"/>
      <c r="K93" s="4"/>
      <c r="L93" s="4"/>
    </row>
    <row r="94" spans="1:12" x14ac:dyDescent="0.3">
      <c r="A94" s="15" t="s">
        <v>849</v>
      </c>
      <c r="B94" s="34" t="s">
        <v>362</v>
      </c>
      <c r="C94" s="7" t="s">
        <v>363</v>
      </c>
      <c r="D94" s="4">
        <v>3</v>
      </c>
      <c r="E94" s="15">
        <v>0</v>
      </c>
      <c r="F94" s="27">
        <v>3</v>
      </c>
      <c r="G94" s="4"/>
      <c r="H94" s="4"/>
      <c r="I94" s="4"/>
      <c r="J94" s="4"/>
      <c r="K94" s="4"/>
      <c r="L94" s="4"/>
    </row>
    <row r="95" spans="1:12" x14ac:dyDescent="0.3">
      <c r="A95" s="15" t="s">
        <v>849</v>
      </c>
      <c r="B95" s="34" t="s">
        <v>365</v>
      </c>
      <c r="C95" s="7" t="s">
        <v>366</v>
      </c>
      <c r="D95" s="4">
        <v>3</v>
      </c>
      <c r="E95" s="15">
        <v>0</v>
      </c>
      <c r="F95" s="27">
        <v>2</v>
      </c>
      <c r="G95" s="4">
        <v>1</v>
      </c>
      <c r="H95" s="4"/>
      <c r="I95" s="4"/>
      <c r="J95" s="4"/>
      <c r="K95" s="4"/>
      <c r="L95" s="4"/>
    </row>
    <row r="96" spans="1:12" x14ac:dyDescent="0.3">
      <c r="A96" s="15" t="s">
        <v>849</v>
      </c>
      <c r="B96" s="34" t="s">
        <v>368</v>
      </c>
      <c r="C96" s="7" t="s">
        <v>369</v>
      </c>
      <c r="D96" s="4">
        <v>1</v>
      </c>
      <c r="E96" s="15">
        <v>0</v>
      </c>
      <c r="F96" s="27">
        <v>1</v>
      </c>
      <c r="G96" s="4"/>
      <c r="H96" s="4"/>
      <c r="I96" s="4"/>
      <c r="J96" s="4"/>
      <c r="K96" s="4"/>
      <c r="L96" s="4"/>
    </row>
    <row r="97" spans="1:12" x14ac:dyDescent="0.3">
      <c r="A97" s="15" t="s">
        <v>849</v>
      </c>
      <c r="B97" s="34" t="s">
        <v>371</v>
      </c>
      <c r="C97" s="7" t="s">
        <v>372</v>
      </c>
      <c r="D97" s="4">
        <v>1</v>
      </c>
      <c r="E97" s="15">
        <v>0</v>
      </c>
      <c r="F97" s="27">
        <v>1</v>
      </c>
      <c r="G97" s="4"/>
      <c r="H97" s="4"/>
      <c r="I97" s="4"/>
      <c r="J97" s="4"/>
      <c r="K97" s="4"/>
      <c r="L97" s="4"/>
    </row>
    <row r="98" spans="1:12" x14ac:dyDescent="0.3">
      <c r="A98" s="15" t="s">
        <v>849</v>
      </c>
      <c r="B98" s="34" t="s">
        <v>374</v>
      </c>
      <c r="C98" s="7" t="s">
        <v>375</v>
      </c>
      <c r="D98" s="4">
        <v>5</v>
      </c>
      <c r="E98" s="15">
        <v>2</v>
      </c>
      <c r="F98" s="27">
        <v>2</v>
      </c>
      <c r="G98" s="4"/>
      <c r="H98" s="4"/>
      <c r="I98" s="4"/>
      <c r="J98" s="4"/>
      <c r="K98" s="4"/>
      <c r="L98" s="4">
        <v>1</v>
      </c>
    </row>
    <row r="99" spans="1:12" x14ac:dyDescent="0.3">
      <c r="A99" s="15" t="s">
        <v>849</v>
      </c>
      <c r="B99" s="34" t="s">
        <v>377</v>
      </c>
      <c r="C99" s="7" t="s">
        <v>366</v>
      </c>
      <c r="D99" s="4">
        <v>1</v>
      </c>
      <c r="E99" s="15">
        <v>0</v>
      </c>
      <c r="F99" s="27">
        <v>1</v>
      </c>
      <c r="G99" s="4"/>
      <c r="H99" s="4"/>
      <c r="I99" s="4"/>
      <c r="J99" s="4"/>
      <c r="K99" s="4"/>
      <c r="L99" s="4"/>
    </row>
    <row r="100" spans="1:12" x14ac:dyDescent="0.3">
      <c r="A100" s="15" t="s">
        <v>849</v>
      </c>
      <c r="B100" s="34" t="s">
        <v>379</v>
      </c>
      <c r="C100" s="7" t="s">
        <v>380</v>
      </c>
      <c r="D100" s="4">
        <v>1</v>
      </c>
      <c r="E100" s="15">
        <v>0</v>
      </c>
      <c r="F100" s="27">
        <v>1</v>
      </c>
      <c r="G100" s="4"/>
      <c r="H100" s="4"/>
      <c r="I100" s="4"/>
      <c r="J100" s="4"/>
      <c r="K100" s="4"/>
      <c r="L100" s="4"/>
    </row>
    <row r="101" spans="1:12" x14ac:dyDescent="0.3">
      <c r="A101" s="15" t="s">
        <v>849</v>
      </c>
      <c r="B101" s="34" t="s">
        <v>382</v>
      </c>
      <c r="C101" s="7" t="s">
        <v>383</v>
      </c>
      <c r="D101" s="4">
        <v>1</v>
      </c>
      <c r="E101" s="15">
        <v>0</v>
      </c>
      <c r="F101" s="27">
        <v>1</v>
      </c>
      <c r="G101" s="4"/>
      <c r="H101" s="4"/>
      <c r="I101" s="4"/>
      <c r="J101" s="4"/>
      <c r="K101" s="4"/>
      <c r="L101" s="4"/>
    </row>
    <row r="102" spans="1:12" x14ac:dyDescent="0.3">
      <c r="A102" s="15" t="s">
        <v>849</v>
      </c>
      <c r="B102" s="34" t="s">
        <v>385</v>
      </c>
      <c r="C102" s="7" t="s">
        <v>386</v>
      </c>
      <c r="D102" s="4">
        <v>6</v>
      </c>
      <c r="E102" s="15">
        <v>0</v>
      </c>
      <c r="F102" s="27">
        <v>2</v>
      </c>
      <c r="G102" s="4"/>
      <c r="H102" s="4"/>
      <c r="I102" s="4"/>
      <c r="J102" s="4"/>
      <c r="K102" s="4"/>
      <c r="L102" s="4">
        <v>4</v>
      </c>
    </row>
    <row r="103" spans="1:12" x14ac:dyDescent="0.3">
      <c r="A103" s="15" t="s">
        <v>849</v>
      </c>
      <c r="B103" s="34" t="s">
        <v>388</v>
      </c>
      <c r="C103" s="7" t="s">
        <v>389</v>
      </c>
      <c r="D103" s="4">
        <v>3</v>
      </c>
      <c r="E103" s="15">
        <v>0</v>
      </c>
      <c r="F103" s="27">
        <v>3</v>
      </c>
      <c r="G103" s="4"/>
      <c r="H103" s="4"/>
      <c r="I103" s="4"/>
      <c r="J103" s="4"/>
      <c r="K103" s="4"/>
      <c r="L103" s="4"/>
    </row>
    <row r="104" spans="1:12" x14ac:dyDescent="0.3">
      <c r="A104" s="15" t="s">
        <v>849</v>
      </c>
      <c r="B104" s="34" t="s">
        <v>391</v>
      </c>
      <c r="C104" s="7" t="s">
        <v>392</v>
      </c>
      <c r="D104" s="4">
        <v>2</v>
      </c>
      <c r="E104" s="15">
        <v>0</v>
      </c>
      <c r="F104" s="27">
        <v>2</v>
      </c>
      <c r="G104" s="4"/>
      <c r="H104" s="4"/>
      <c r="I104" s="4"/>
      <c r="J104" s="4"/>
      <c r="K104" s="4"/>
      <c r="L104" s="4"/>
    </row>
    <row r="105" spans="1:12" x14ac:dyDescent="0.3">
      <c r="A105" s="15" t="s">
        <v>849</v>
      </c>
      <c r="B105" s="34" t="s">
        <v>394</v>
      </c>
      <c r="C105" s="7" t="s">
        <v>395</v>
      </c>
      <c r="D105" s="4">
        <v>2</v>
      </c>
      <c r="E105" s="15">
        <v>0</v>
      </c>
      <c r="F105" s="27">
        <v>2</v>
      </c>
      <c r="G105" s="4"/>
      <c r="H105" s="4"/>
      <c r="I105" s="4"/>
      <c r="J105" s="4"/>
      <c r="K105" s="4"/>
      <c r="L105" s="4"/>
    </row>
    <row r="106" spans="1:12" x14ac:dyDescent="0.3">
      <c r="A106" s="15" t="s">
        <v>849</v>
      </c>
      <c r="B106" s="34" t="s">
        <v>397</v>
      </c>
      <c r="C106" s="7" t="s">
        <v>398</v>
      </c>
      <c r="D106" s="4">
        <v>1</v>
      </c>
      <c r="E106" s="15">
        <v>0</v>
      </c>
      <c r="F106" s="27">
        <v>0</v>
      </c>
      <c r="G106" s="4">
        <v>1</v>
      </c>
      <c r="H106" s="4"/>
      <c r="I106" s="4"/>
      <c r="J106" s="4"/>
      <c r="K106" s="4"/>
      <c r="L106" s="4"/>
    </row>
    <row r="107" spans="1:12" x14ac:dyDescent="0.3">
      <c r="A107" s="15" t="s">
        <v>849</v>
      </c>
      <c r="B107" s="34" t="s">
        <v>400</v>
      </c>
      <c r="C107" s="7" t="s">
        <v>401</v>
      </c>
      <c r="D107" s="4">
        <v>1</v>
      </c>
      <c r="E107" s="15">
        <v>0</v>
      </c>
      <c r="F107" s="27">
        <v>1</v>
      </c>
      <c r="G107" s="4"/>
      <c r="H107" s="4"/>
      <c r="I107" s="4"/>
      <c r="J107" s="4"/>
      <c r="K107" s="4"/>
      <c r="L107" s="4"/>
    </row>
    <row r="108" spans="1:12" x14ac:dyDescent="0.3">
      <c r="A108" s="15" t="s">
        <v>849</v>
      </c>
      <c r="B108" s="34" t="s">
        <v>403</v>
      </c>
      <c r="C108" s="7" t="s">
        <v>404</v>
      </c>
      <c r="D108" s="4">
        <v>6</v>
      </c>
      <c r="E108" s="15">
        <v>3</v>
      </c>
      <c r="F108" s="27">
        <v>1</v>
      </c>
      <c r="G108" s="4">
        <v>2</v>
      </c>
      <c r="H108" s="4"/>
      <c r="I108" s="4"/>
      <c r="J108" s="4"/>
      <c r="K108" s="4"/>
      <c r="L108" s="4"/>
    </row>
    <row r="109" spans="1:12" x14ac:dyDescent="0.3">
      <c r="A109" s="15" t="s">
        <v>849</v>
      </c>
      <c r="B109" s="34" t="s">
        <v>406</v>
      </c>
      <c r="C109" s="7" t="s">
        <v>407</v>
      </c>
      <c r="D109" s="4">
        <v>1</v>
      </c>
      <c r="E109" s="15">
        <v>0</v>
      </c>
      <c r="F109" s="27">
        <v>1</v>
      </c>
      <c r="G109" s="4"/>
      <c r="H109" s="4"/>
      <c r="I109" s="4"/>
      <c r="J109" s="4"/>
      <c r="K109" s="4"/>
      <c r="L109" s="4"/>
    </row>
    <row r="110" spans="1:12" x14ac:dyDescent="0.3">
      <c r="A110" s="15" t="s">
        <v>849</v>
      </c>
      <c r="B110" s="34" t="s">
        <v>409</v>
      </c>
      <c r="C110" s="7" t="s">
        <v>410</v>
      </c>
      <c r="D110" s="4">
        <v>4</v>
      </c>
      <c r="E110" s="15">
        <v>0</v>
      </c>
      <c r="F110" s="27">
        <v>4</v>
      </c>
      <c r="G110" s="4"/>
      <c r="H110" s="4"/>
      <c r="I110" s="4"/>
      <c r="J110" s="4"/>
      <c r="K110" s="4"/>
      <c r="L110" s="4"/>
    </row>
    <row r="111" spans="1:12" x14ac:dyDescent="0.3">
      <c r="A111" s="15" t="s">
        <v>849</v>
      </c>
      <c r="B111" s="34" t="s">
        <v>412</v>
      </c>
      <c r="C111" s="7" t="s">
        <v>413</v>
      </c>
      <c r="D111" s="4">
        <v>1</v>
      </c>
      <c r="E111" s="15">
        <v>0</v>
      </c>
      <c r="F111" s="27">
        <v>1</v>
      </c>
      <c r="G111" s="4"/>
      <c r="H111" s="4"/>
      <c r="I111" s="4"/>
      <c r="J111" s="4"/>
      <c r="K111" s="4"/>
      <c r="L111" s="4"/>
    </row>
    <row r="112" spans="1:12" x14ac:dyDescent="0.3">
      <c r="A112" s="15" t="s">
        <v>849</v>
      </c>
      <c r="B112" s="34" t="s">
        <v>415</v>
      </c>
      <c r="C112" s="7" t="s">
        <v>416</v>
      </c>
      <c r="D112" s="4">
        <v>1</v>
      </c>
      <c r="E112" s="15">
        <v>0</v>
      </c>
      <c r="F112" s="27">
        <v>1</v>
      </c>
      <c r="G112" s="4"/>
      <c r="H112" s="4"/>
      <c r="I112" s="4"/>
      <c r="J112" s="4"/>
      <c r="K112" s="4"/>
      <c r="L112" s="4"/>
    </row>
    <row r="113" spans="1:12" x14ac:dyDescent="0.3">
      <c r="A113" s="15" t="s">
        <v>849</v>
      </c>
      <c r="B113" s="34" t="s">
        <v>418</v>
      </c>
      <c r="C113" s="7" t="s">
        <v>419</v>
      </c>
      <c r="D113" s="4">
        <v>6</v>
      </c>
      <c r="E113" s="15">
        <v>4</v>
      </c>
      <c r="F113" s="27">
        <v>2</v>
      </c>
      <c r="G113" s="4"/>
      <c r="H113" s="4"/>
      <c r="I113" s="4"/>
      <c r="J113" s="4"/>
      <c r="K113" s="4"/>
      <c r="L113" s="4"/>
    </row>
    <row r="114" spans="1:12" x14ac:dyDescent="0.3">
      <c r="A114" s="15" t="s">
        <v>849</v>
      </c>
      <c r="B114" s="34" t="s">
        <v>421</v>
      </c>
      <c r="C114" s="7" t="s">
        <v>422</v>
      </c>
      <c r="D114" s="4">
        <v>2</v>
      </c>
      <c r="E114" s="15">
        <v>0</v>
      </c>
      <c r="F114" s="27">
        <v>2</v>
      </c>
      <c r="G114" s="4"/>
      <c r="H114" s="4"/>
      <c r="I114" s="4"/>
      <c r="J114" s="4"/>
      <c r="K114" s="4"/>
      <c r="L114" s="4"/>
    </row>
    <row r="115" spans="1:12" x14ac:dyDescent="0.3">
      <c r="A115" s="15" t="s">
        <v>849</v>
      </c>
      <c r="B115" s="34" t="s">
        <v>424</v>
      </c>
      <c r="C115" s="7" t="s">
        <v>425</v>
      </c>
      <c r="D115" s="4">
        <v>1</v>
      </c>
      <c r="E115" s="15">
        <v>0</v>
      </c>
      <c r="F115" s="27">
        <v>1</v>
      </c>
      <c r="G115" s="4"/>
      <c r="H115" s="4"/>
      <c r="I115" s="4"/>
      <c r="J115" s="4"/>
      <c r="K115" s="4"/>
      <c r="L115" s="4"/>
    </row>
    <row r="116" spans="1:12" x14ac:dyDescent="0.3">
      <c r="A116" s="15" t="s">
        <v>849</v>
      </c>
      <c r="B116" s="34" t="s">
        <v>427</v>
      </c>
      <c r="C116" s="7" t="s">
        <v>428</v>
      </c>
      <c r="D116" s="4">
        <v>11</v>
      </c>
      <c r="E116" s="15">
        <v>0</v>
      </c>
      <c r="F116" s="27">
        <v>5</v>
      </c>
      <c r="G116" s="4">
        <v>4</v>
      </c>
      <c r="H116" s="4">
        <v>2</v>
      </c>
      <c r="I116" s="4"/>
      <c r="J116" s="4"/>
      <c r="K116" s="4"/>
      <c r="L116" s="4"/>
    </row>
    <row r="117" spans="1:12" x14ac:dyDescent="0.3">
      <c r="A117" s="15" t="s">
        <v>849</v>
      </c>
      <c r="B117" s="34" t="s">
        <v>430</v>
      </c>
      <c r="C117" s="7" t="s">
        <v>431</v>
      </c>
      <c r="D117" s="4">
        <v>12</v>
      </c>
      <c r="E117" s="15">
        <v>3</v>
      </c>
      <c r="F117" s="27">
        <v>5</v>
      </c>
      <c r="G117" s="4">
        <v>2</v>
      </c>
      <c r="H117" s="4">
        <v>2</v>
      </c>
      <c r="I117" s="4"/>
      <c r="J117" s="4"/>
      <c r="K117" s="4"/>
      <c r="L117" s="4"/>
    </row>
    <row r="118" spans="1:12" x14ac:dyDescent="0.3">
      <c r="A118" s="15" t="s">
        <v>849</v>
      </c>
      <c r="B118" s="34" t="s">
        <v>433</v>
      </c>
      <c r="C118" s="7" t="s">
        <v>434</v>
      </c>
      <c r="D118" s="4">
        <v>15</v>
      </c>
      <c r="E118" s="15">
        <v>3</v>
      </c>
      <c r="F118" s="27">
        <v>2</v>
      </c>
      <c r="G118" s="4">
        <v>6</v>
      </c>
      <c r="H118" s="4">
        <v>4</v>
      </c>
      <c r="I118" s="4"/>
      <c r="J118" s="4"/>
      <c r="K118" s="4"/>
      <c r="L118" s="4"/>
    </row>
    <row r="119" spans="1:12" x14ac:dyDescent="0.3">
      <c r="A119" s="15" t="s">
        <v>849</v>
      </c>
      <c r="B119" s="34" t="s">
        <v>436</v>
      </c>
      <c r="C119" s="7" t="s">
        <v>437</v>
      </c>
      <c r="D119" s="4">
        <v>4</v>
      </c>
      <c r="E119" s="15">
        <v>2</v>
      </c>
      <c r="F119" s="27">
        <v>2</v>
      </c>
      <c r="G119" s="4"/>
      <c r="H119" s="4"/>
      <c r="I119" s="4"/>
      <c r="J119" s="4"/>
      <c r="K119" s="4"/>
      <c r="L119" s="4"/>
    </row>
    <row r="120" spans="1:12" x14ac:dyDescent="0.3">
      <c r="A120" s="15" t="s">
        <v>849</v>
      </c>
      <c r="B120" s="34" t="s">
        <v>439</v>
      </c>
      <c r="C120" s="7" t="s">
        <v>440</v>
      </c>
      <c r="D120" s="4">
        <v>4</v>
      </c>
      <c r="E120" s="15">
        <v>2</v>
      </c>
      <c r="F120" s="27">
        <v>2</v>
      </c>
      <c r="G120" s="4">
        <v>0</v>
      </c>
      <c r="H120" s="4"/>
      <c r="I120" s="4"/>
      <c r="J120" s="4"/>
      <c r="K120" s="4"/>
      <c r="L120" s="4"/>
    </row>
    <row r="121" spans="1:12" x14ac:dyDescent="0.3">
      <c r="A121" s="15" t="s">
        <v>849</v>
      </c>
      <c r="B121" s="26" t="s">
        <v>442</v>
      </c>
      <c r="C121" s="7" t="s">
        <v>866</v>
      </c>
      <c r="D121" s="4">
        <v>8</v>
      </c>
      <c r="E121" s="15">
        <v>2</v>
      </c>
      <c r="F121" s="27">
        <v>2</v>
      </c>
      <c r="G121" s="4">
        <v>4</v>
      </c>
      <c r="H121" s="4"/>
      <c r="I121" s="4"/>
      <c r="J121" s="4"/>
      <c r="K121" s="4"/>
      <c r="L121" s="4"/>
    </row>
    <row r="122" spans="1:12" x14ac:dyDescent="0.3">
      <c r="A122" s="15" t="s">
        <v>849</v>
      </c>
      <c r="B122" s="26" t="s">
        <v>445</v>
      </c>
      <c r="C122" s="7" t="s">
        <v>867</v>
      </c>
      <c r="D122" s="4">
        <v>3</v>
      </c>
      <c r="E122" s="15">
        <v>1</v>
      </c>
      <c r="F122" s="27">
        <v>0</v>
      </c>
      <c r="G122" s="4">
        <v>2</v>
      </c>
      <c r="H122" s="4"/>
      <c r="I122" s="4"/>
      <c r="J122" s="4"/>
      <c r="K122" s="4"/>
      <c r="L122" s="4"/>
    </row>
    <row r="123" spans="1:12" x14ac:dyDescent="0.3">
      <c r="A123" s="15" t="s">
        <v>849</v>
      </c>
      <c r="B123" s="26" t="s">
        <v>448</v>
      </c>
      <c r="C123" s="7" t="s">
        <v>449</v>
      </c>
      <c r="D123" s="4">
        <v>1</v>
      </c>
      <c r="E123" s="15">
        <v>1</v>
      </c>
      <c r="F123" s="27">
        <v>0</v>
      </c>
      <c r="G123" s="4"/>
      <c r="H123" s="4"/>
      <c r="I123" s="4"/>
      <c r="J123" s="4"/>
      <c r="K123" s="4"/>
      <c r="L123" s="4"/>
    </row>
    <row r="124" spans="1:12" x14ac:dyDescent="0.3">
      <c r="A124" s="15" t="s">
        <v>849</v>
      </c>
      <c r="B124" s="26" t="s">
        <v>451</v>
      </c>
      <c r="C124" s="7" t="s">
        <v>452</v>
      </c>
      <c r="D124" s="4">
        <v>2</v>
      </c>
      <c r="E124" s="15">
        <v>2</v>
      </c>
      <c r="F124" s="27">
        <v>0</v>
      </c>
      <c r="G124" s="4"/>
      <c r="H124" s="4"/>
      <c r="I124" s="4"/>
      <c r="J124" s="4"/>
      <c r="K124" s="4"/>
      <c r="L124" s="4"/>
    </row>
    <row r="125" spans="1:12" x14ac:dyDescent="0.3">
      <c r="A125" s="15" t="s">
        <v>849</v>
      </c>
      <c r="B125" s="26" t="s">
        <v>454</v>
      </c>
      <c r="C125" s="7" t="s">
        <v>455</v>
      </c>
      <c r="D125" s="4">
        <v>2</v>
      </c>
      <c r="E125" s="15">
        <v>2</v>
      </c>
      <c r="F125" s="27">
        <v>0</v>
      </c>
      <c r="G125" s="4"/>
      <c r="H125" s="4"/>
      <c r="I125" s="4"/>
      <c r="J125" s="4"/>
      <c r="K125" s="4"/>
      <c r="L125" s="4"/>
    </row>
    <row r="126" spans="1:12" x14ac:dyDescent="0.3">
      <c r="A126" s="15" t="s">
        <v>849</v>
      </c>
      <c r="B126" s="26" t="s">
        <v>457</v>
      </c>
      <c r="C126" s="7" t="s">
        <v>366</v>
      </c>
      <c r="D126" s="4">
        <v>3</v>
      </c>
      <c r="E126" s="15">
        <v>1</v>
      </c>
      <c r="F126" s="27">
        <v>2</v>
      </c>
      <c r="G126" s="4"/>
      <c r="H126" s="4"/>
      <c r="I126" s="4"/>
      <c r="J126" s="4"/>
      <c r="K126" s="4"/>
      <c r="L126" s="4"/>
    </row>
    <row r="127" spans="1:12" x14ac:dyDescent="0.3">
      <c r="A127" s="15" t="s">
        <v>849</v>
      </c>
      <c r="B127" s="26" t="s">
        <v>459</v>
      </c>
      <c r="C127" s="7" t="s">
        <v>460</v>
      </c>
      <c r="D127" s="4">
        <v>2</v>
      </c>
      <c r="E127" s="15">
        <v>2</v>
      </c>
      <c r="F127" s="27">
        <v>0</v>
      </c>
      <c r="G127" s="4"/>
      <c r="H127" s="4"/>
      <c r="I127" s="4"/>
      <c r="J127" s="4"/>
      <c r="K127" s="4"/>
      <c r="L127" s="4"/>
    </row>
    <row r="128" spans="1:12" x14ac:dyDescent="0.3">
      <c r="A128" s="15" t="s">
        <v>849</v>
      </c>
      <c r="B128" s="26" t="s">
        <v>462</v>
      </c>
      <c r="C128" s="7" t="s">
        <v>463</v>
      </c>
      <c r="D128" s="4">
        <v>1</v>
      </c>
      <c r="E128" s="15">
        <v>1</v>
      </c>
      <c r="F128" s="27">
        <v>0</v>
      </c>
      <c r="G128" s="4">
        <v>0</v>
      </c>
      <c r="H128" s="4"/>
      <c r="I128" s="4"/>
      <c r="J128" s="4"/>
      <c r="K128" s="4"/>
      <c r="L128" s="4"/>
    </row>
    <row r="129" spans="1:12" x14ac:dyDescent="0.3">
      <c r="A129" s="15" t="s">
        <v>849</v>
      </c>
      <c r="B129" s="7" t="s">
        <v>693</v>
      </c>
      <c r="C129" s="7" t="s">
        <v>694</v>
      </c>
      <c r="D129" s="4">
        <v>1</v>
      </c>
      <c r="E129" s="15">
        <v>1</v>
      </c>
      <c r="F129" s="27"/>
      <c r="G129" s="4"/>
      <c r="H129" s="4"/>
      <c r="I129" s="4"/>
      <c r="J129" s="4"/>
      <c r="K129" s="4"/>
      <c r="L129" s="4"/>
    </row>
    <row r="130" spans="1:12" x14ac:dyDescent="0.3">
      <c r="A130" s="15" t="s">
        <v>849</v>
      </c>
      <c r="B130" s="7" t="s">
        <v>702</v>
      </c>
      <c r="C130" s="7" t="s">
        <v>703</v>
      </c>
      <c r="D130" s="4">
        <v>2</v>
      </c>
      <c r="E130" s="15">
        <v>2</v>
      </c>
      <c r="F130" s="27"/>
      <c r="G130" s="4"/>
      <c r="H130" s="4"/>
      <c r="I130" s="4"/>
      <c r="J130" s="4"/>
      <c r="K130" s="4"/>
      <c r="L130" s="4"/>
    </row>
    <row r="131" spans="1:12" x14ac:dyDescent="0.3">
      <c r="A131" s="15" t="s">
        <v>849</v>
      </c>
      <c r="B131" s="7" t="s">
        <v>714</v>
      </c>
      <c r="C131" s="7" t="s">
        <v>715</v>
      </c>
      <c r="D131" s="4">
        <v>4</v>
      </c>
      <c r="E131" s="15"/>
      <c r="F131" s="27"/>
      <c r="G131" s="4"/>
      <c r="H131" s="4"/>
      <c r="I131" s="4"/>
      <c r="J131" s="4"/>
      <c r="K131" s="4"/>
      <c r="L131" s="4">
        <v>4</v>
      </c>
    </row>
    <row r="132" spans="1:12" x14ac:dyDescent="0.3">
      <c r="A132" s="15" t="s">
        <v>868</v>
      </c>
      <c r="B132" s="27">
        <v>81983711</v>
      </c>
      <c r="C132" s="7" t="s">
        <v>773</v>
      </c>
      <c r="D132" s="4">
        <v>1</v>
      </c>
      <c r="E132" s="15">
        <v>1</v>
      </c>
      <c r="F132" s="27">
        <v>0</v>
      </c>
      <c r="G132" s="4"/>
      <c r="H132" s="4"/>
      <c r="I132" s="4"/>
      <c r="J132" s="4"/>
      <c r="K132" s="4"/>
      <c r="L132" s="4"/>
    </row>
    <row r="133" spans="1:12" x14ac:dyDescent="0.3">
      <c r="A133" s="15" t="s">
        <v>868</v>
      </c>
      <c r="B133" s="27">
        <v>17691002</v>
      </c>
      <c r="C133" s="7" t="s">
        <v>775</v>
      </c>
      <c r="D133" s="4">
        <v>1</v>
      </c>
      <c r="E133" s="15">
        <v>1</v>
      </c>
      <c r="F133" s="27">
        <v>0</v>
      </c>
      <c r="G133" s="4"/>
      <c r="H133" s="4"/>
      <c r="I133" s="4"/>
      <c r="J133" s="4"/>
      <c r="K133" s="4"/>
      <c r="L133" s="4"/>
    </row>
    <row r="134" spans="1:12" x14ac:dyDescent="0.3">
      <c r="A134" s="15" t="s">
        <v>868</v>
      </c>
      <c r="B134" s="27">
        <v>82497460</v>
      </c>
      <c r="C134" s="7" t="s">
        <v>777</v>
      </c>
      <c r="D134" s="4">
        <v>8</v>
      </c>
      <c r="E134" s="15">
        <v>8</v>
      </c>
      <c r="F134" s="27">
        <v>0</v>
      </c>
      <c r="G134" s="4"/>
      <c r="H134" s="4"/>
      <c r="I134" s="4"/>
      <c r="J134" s="4"/>
      <c r="K134" s="4"/>
      <c r="L134" s="4"/>
    </row>
    <row r="135" spans="1:12" x14ac:dyDescent="0.3">
      <c r="A135" s="15" t="s">
        <v>868</v>
      </c>
      <c r="B135" s="27">
        <v>82491402</v>
      </c>
      <c r="C135" s="7" t="s">
        <v>779</v>
      </c>
      <c r="D135" s="4">
        <v>1</v>
      </c>
      <c r="E135" s="15">
        <v>1</v>
      </c>
      <c r="F135" s="27">
        <v>0</v>
      </c>
      <c r="G135" s="4"/>
      <c r="H135" s="4"/>
      <c r="I135" s="4"/>
      <c r="J135" s="4"/>
      <c r="K135" s="4"/>
      <c r="L135" s="4"/>
    </row>
    <row r="136" spans="1:12" x14ac:dyDescent="0.3">
      <c r="A136" s="15" t="s">
        <v>868</v>
      </c>
      <c r="B136" s="27">
        <v>84407270</v>
      </c>
      <c r="C136" s="7" t="s">
        <v>781</v>
      </c>
      <c r="D136" s="4">
        <v>1</v>
      </c>
      <c r="E136" s="15">
        <v>1</v>
      </c>
      <c r="F136" s="27">
        <v>0</v>
      </c>
      <c r="G136" s="4"/>
      <c r="H136" s="4"/>
      <c r="I136" s="4"/>
      <c r="J136" s="4"/>
      <c r="K136" s="4"/>
      <c r="L136" s="4"/>
    </row>
    <row r="137" spans="1:12" x14ac:dyDescent="0.3">
      <c r="A137" s="15" t="s">
        <v>868</v>
      </c>
      <c r="B137" s="27">
        <v>82551232</v>
      </c>
      <c r="C137" s="7" t="s">
        <v>783</v>
      </c>
      <c r="D137" s="4">
        <v>2</v>
      </c>
      <c r="E137" s="15">
        <v>2</v>
      </c>
      <c r="F137" s="27">
        <v>0</v>
      </c>
      <c r="G137" s="4"/>
      <c r="H137" s="4"/>
      <c r="I137" s="4"/>
      <c r="J137" s="4"/>
      <c r="K137" s="4"/>
      <c r="L137" s="4"/>
    </row>
    <row r="138" spans="1:12" x14ac:dyDescent="0.3">
      <c r="A138" s="15" t="s">
        <v>868</v>
      </c>
      <c r="B138" s="27">
        <v>17896634</v>
      </c>
      <c r="C138" s="7" t="s">
        <v>785</v>
      </c>
      <c r="D138" s="4">
        <v>2</v>
      </c>
      <c r="E138" s="15">
        <v>2</v>
      </c>
      <c r="F138" s="27">
        <v>0</v>
      </c>
      <c r="G138" s="4"/>
      <c r="H138" s="4"/>
      <c r="I138" s="4"/>
      <c r="J138" s="4"/>
      <c r="K138" s="4"/>
      <c r="L138" s="4"/>
    </row>
    <row r="139" spans="1:12" x14ac:dyDescent="0.3">
      <c r="A139" s="15" t="s">
        <v>868</v>
      </c>
      <c r="B139" s="27">
        <v>84467863</v>
      </c>
      <c r="C139" s="7" t="s">
        <v>787</v>
      </c>
      <c r="D139" s="4">
        <v>2</v>
      </c>
      <c r="E139" s="15">
        <v>2</v>
      </c>
      <c r="F139" s="27">
        <v>0</v>
      </c>
      <c r="G139" s="4"/>
      <c r="H139" s="4"/>
      <c r="I139" s="4"/>
      <c r="J139" s="4"/>
      <c r="K139" s="4"/>
      <c r="L139" s="4"/>
    </row>
    <row r="140" spans="1:12" x14ac:dyDescent="0.3">
      <c r="A140" s="15" t="s">
        <v>868</v>
      </c>
      <c r="B140" s="27">
        <v>903100</v>
      </c>
      <c r="C140" s="7" t="s">
        <v>789</v>
      </c>
      <c r="D140" s="4">
        <v>1</v>
      </c>
      <c r="E140" s="15">
        <v>0</v>
      </c>
      <c r="F140" s="27">
        <v>1</v>
      </c>
      <c r="G140" s="4"/>
      <c r="H140" s="4"/>
      <c r="I140" s="4"/>
      <c r="J140" s="4"/>
      <c r="K140" s="4"/>
      <c r="L140" s="4"/>
    </row>
    <row r="141" spans="1:12" x14ac:dyDescent="0.3">
      <c r="A141" s="15" t="s">
        <v>868</v>
      </c>
      <c r="B141" s="27">
        <v>84498941</v>
      </c>
      <c r="C141" s="7" t="s">
        <v>791</v>
      </c>
      <c r="D141" s="4">
        <v>1</v>
      </c>
      <c r="E141" s="15">
        <v>0</v>
      </c>
      <c r="F141" s="27">
        <v>1</v>
      </c>
      <c r="G141" s="4"/>
      <c r="H141" s="4"/>
      <c r="I141" s="4"/>
      <c r="J141" s="4"/>
      <c r="K141" s="4"/>
      <c r="L141" s="4"/>
    </row>
    <row r="142" spans="1:12" x14ac:dyDescent="0.3">
      <c r="A142" s="15" t="s">
        <v>868</v>
      </c>
      <c r="B142" s="27">
        <v>83206072</v>
      </c>
      <c r="C142" s="7" t="s">
        <v>793</v>
      </c>
      <c r="D142" s="4">
        <v>1</v>
      </c>
      <c r="E142" s="15">
        <v>1</v>
      </c>
      <c r="F142" s="27">
        <v>0</v>
      </c>
      <c r="G142" s="4"/>
      <c r="H142" s="4"/>
      <c r="I142" s="4"/>
      <c r="J142" s="4"/>
      <c r="K142" s="4"/>
      <c r="L142" s="4"/>
    </row>
    <row r="143" spans="1:12" x14ac:dyDescent="0.3">
      <c r="A143" s="15" t="s">
        <v>868</v>
      </c>
      <c r="B143" s="27">
        <v>19319874</v>
      </c>
      <c r="C143" s="7" t="s">
        <v>795</v>
      </c>
      <c r="D143" s="4">
        <v>3</v>
      </c>
      <c r="E143" s="15">
        <v>3</v>
      </c>
      <c r="F143" s="27"/>
      <c r="G143" s="4"/>
      <c r="H143" s="4"/>
      <c r="I143" s="4"/>
      <c r="J143" s="4"/>
      <c r="K143" s="4"/>
      <c r="L143" s="4"/>
    </row>
    <row r="144" spans="1:12" x14ac:dyDescent="0.3">
      <c r="A144" s="15" t="s">
        <v>868</v>
      </c>
      <c r="B144" s="27">
        <v>19319790</v>
      </c>
      <c r="C144" s="7" t="s">
        <v>797</v>
      </c>
      <c r="D144" s="4">
        <v>3</v>
      </c>
      <c r="E144" s="15">
        <v>3</v>
      </c>
      <c r="F144" s="27"/>
      <c r="G144" s="4"/>
      <c r="H144" s="4"/>
      <c r="I144" s="4"/>
      <c r="J144" s="4"/>
      <c r="K144" s="4"/>
      <c r="L144" s="4"/>
    </row>
    <row r="145" spans="1:12" x14ac:dyDescent="0.3">
      <c r="A145" s="15" t="s">
        <v>868</v>
      </c>
      <c r="B145" s="46">
        <v>82294850</v>
      </c>
      <c r="C145" s="30" t="s">
        <v>799</v>
      </c>
      <c r="D145" s="4">
        <v>1</v>
      </c>
      <c r="E145" s="15">
        <v>1</v>
      </c>
      <c r="F145" s="27"/>
      <c r="G145" s="4"/>
      <c r="H145" s="4"/>
      <c r="I145" s="4"/>
      <c r="J145" s="4"/>
      <c r="K145" s="4"/>
      <c r="L145" s="4"/>
    </row>
    <row r="146" spans="1:12" x14ac:dyDescent="0.3">
      <c r="A146" s="15" t="s">
        <v>849</v>
      </c>
      <c r="B146" s="26" t="s">
        <v>465</v>
      </c>
      <c r="C146" s="7" t="s">
        <v>466</v>
      </c>
      <c r="D146" s="4">
        <v>2</v>
      </c>
      <c r="E146" s="15">
        <v>0</v>
      </c>
      <c r="F146" s="56">
        <v>2</v>
      </c>
      <c r="G146" s="4"/>
      <c r="H146" s="4"/>
      <c r="I146" s="4"/>
      <c r="J146" s="4"/>
      <c r="K146" s="4"/>
      <c r="L146" s="4"/>
    </row>
    <row r="147" spans="1:12" x14ac:dyDescent="0.3">
      <c r="A147" s="15" t="s">
        <v>849</v>
      </c>
      <c r="B147" s="26" t="s">
        <v>468</v>
      </c>
      <c r="C147" s="7" t="s">
        <v>469</v>
      </c>
      <c r="D147" s="4">
        <v>2</v>
      </c>
      <c r="E147" s="15">
        <v>0</v>
      </c>
      <c r="F147" s="56">
        <v>2</v>
      </c>
      <c r="G147" s="4"/>
      <c r="H147" s="4"/>
      <c r="I147" s="4"/>
      <c r="J147" s="4"/>
      <c r="K147" s="4"/>
      <c r="L147" s="4"/>
    </row>
    <row r="148" spans="1:12" x14ac:dyDescent="0.3">
      <c r="A148" s="15" t="s">
        <v>849</v>
      </c>
      <c r="B148" s="26" t="s">
        <v>471</v>
      </c>
      <c r="C148" s="7" t="s">
        <v>472</v>
      </c>
      <c r="D148" s="4">
        <v>1</v>
      </c>
      <c r="E148" s="15">
        <v>0</v>
      </c>
      <c r="F148" s="56">
        <v>0</v>
      </c>
      <c r="G148" s="4">
        <v>1</v>
      </c>
      <c r="H148" s="4"/>
      <c r="I148" s="4"/>
      <c r="J148" s="4"/>
      <c r="K148" s="4"/>
      <c r="L148" s="4"/>
    </row>
    <row r="149" spans="1:12" x14ac:dyDescent="0.3">
      <c r="A149" s="15" t="s">
        <v>849</v>
      </c>
      <c r="B149" s="26" t="s">
        <v>474</v>
      </c>
      <c r="C149" s="7" t="s">
        <v>475</v>
      </c>
      <c r="D149" s="4">
        <v>2</v>
      </c>
      <c r="E149" s="15">
        <v>0</v>
      </c>
      <c r="F149" s="56">
        <v>2</v>
      </c>
      <c r="G149" s="4"/>
      <c r="H149" s="4"/>
      <c r="I149" s="4"/>
      <c r="J149" s="4"/>
      <c r="K149" s="4"/>
      <c r="L149" s="4"/>
    </row>
    <row r="150" spans="1:12" x14ac:dyDescent="0.3">
      <c r="A150" s="15" t="s">
        <v>849</v>
      </c>
      <c r="B150" s="26" t="s">
        <v>477</v>
      </c>
      <c r="C150" s="7" t="s">
        <v>478</v>
      </c>
      <c r="D150" s="4">
        <v>2</v>
      </c>
      <c r="E150" s="15">
        <v>0</v>
      </c>
      <c r="F150" s="56">
        <v>2</v>
      </c>
      <c r="G150" s="4"/>
      <c r="H150" s="4"/>
      <c r="I150" s="4"/>
      <c r="J150" s="4"/>
      <c r="K150" s="4"/>
      <c r="L150" s="4"/>
    </row>
    <row r="151" spans="1:12" x14ac:dyDescent="0.3">
      <c r="A151" s="15" t="s">
        <v>849</v>
      </c>
      <c r="B151" s="26" t="s">
        <v>480</v>
      </c>
      <c r="C151" s="7" t="s">
        <v>481</v>
      </c>
      <c r="D151" s="4">
        <v>14</v>
      </c>
      <c r="E151" s="15">
        <v>3</v>
      </c>
      <c r="F151" s="56">
        <v>2</v>
      </c>
      <c r="G151" s="4">
        <v>3</v>
      </c>
      <c r="H151" s="4">
        <v>2</v>
      </c>
      <c r="I151" s="4"/>
      <c r="J151" s="4"/>
      <c r="K151" s="4"/>
      <c r="L151" s="4">
        <v>4</v>
      </c>
    </row>
    <row r="152" spans="1:12" x14ac:dyDescent="0.3">
      <c r="A152" s="15" t="s">
        <v>849</v>
      </c>
      <c r="B152" s="26" t="s">
        <v>483</v>
      </c>
      <c r="C152" s="7" t="s">
        <v>484</v>
      </c>
      <c r="D152" s="4">
        <v>14</v>
      </c>
      <c r="E152" s="15">
        <v>5</v>
      </c>
      <c r="F152" s="56">
        <v>3</v>
      </c>
      <c r="G152" s="4">
        <v>4</v>
      </c>
      <c r="H152" s="4">
        <v>2</v>
      </c>
      <c r="I152" s="4"/>
      <c r="J152" s="4"/>
      <c r="K152" s="4"/>
      <c r="L152" s="4"/>
    </row>
    <row r="153" spans="1:12" x14ac:dyDescent="0.3">
      <c r="A153" s="15" t="s">
        <v>849</v>
      </c>
      <c r="B153" s="26" t="s">
        <v>486</v>
      </c>
      <c r="C153" s="7" t="s">
        <v>487</v>
      </c>
      <c r="D153" s="4">
        <v>1</v>
      </c>
      <c r="E153" s="15">
        <v>0</v>
      </c>
      <c r="F153" s="56">
        <v>1</v>
      </c>
      <c r="G153" s="4"/>
      <c r="H153" s="4"/>
      <c r="I153" s="4"/>
      <c r="J153" s="4"/>
      <c r="K153" s="4"/>
      <c r="L153" s="4"/>
    </row>
    <row r="154" spans="1:12" x14ac:dyDescent="0.3">
      <c r="A154" s="15" t="s">
        <v>849</v>
      </c>
      <c r="B154" s="26" t="s">
        <v>489</v>
      </c>
      <c r="C154" s="7" t="s">
        <v>490</v>
      </c>
      <c r="D154" s="4">
        <v>1</v>
      </c>
      <c r="E154" s="15">
        <v>0</v>
      </c>
      <c r="F154" s="56">
        <v>1</v>
      </c>
      <c r="G154" s="4"/>
      <c r="H154" s="4"/>
      <c r="I154" s="4"/>
      <c r="J154" s="4"/>
      <c r="K154" s="4"/>
      <c r="L154" s="4"/>
    </row>
    <row r="155" spans="1:12" x14ac:dyDescent="0.3">
      <c r="A155" s="15" t="s">
        <v>849</v>
      </c>
      <c r="B155" s="26" t="s">
        <v>492</v>
      </c>
      <c r="C155" s="7" t="s">
        <v>493</v>
      </c>
      <c r="D155" s="4">
        <v>4</v>
      </c>
      <c r="E155" s="15">
        <v>0</v>
      </c>
      <c r="F155" s="56">
        <v>4</v>
      </c>
      <c r="G155" s="4"/>
      <c r="H155" s="4"/>
      <c r="I155" s="4"/>
      <c r="J155" s="4"/>
      <c r="K155" s="4"/>
      <c r="L155" s="4"/>
    </row>
    <row r="156" spans="1:12" x14ac:dyDescent="0.3">
      <c r="A156" s="15" t="s">
        <v>849</v>
      </c>
      <c r="B156" s="26" t="s">
        <v>495</v>
      </c>
      <c r="C156" s="7" t="s">
        <v>496</v>
      </c>
      <c r="D156" s="4">
        <v>4</v>
      </c>
      <c r="E156" s="15">
        <v>0</v>
      </c>
      <c r="F156" s="56">
        <v>4</v>
      </c>
      <c r="G156" s="7"/>
      <c r="H156" s="7"/>
      <c r="I156" s="7"/>
      <c r="J156" s="7"/>
      <c r="K156" s="7"/>
      <c r="L156" s="7"/>
    </row>
    <row r="157" spans="1:12" x14ac:dyDescent="0.3">
      <c r="A157" s="15" t="s">
        <v>849</v>
      </c>
      <c r="B157" s="26" t="s">
        <v>498</v>
      </c>
      <c r="C157" s="7" t="s">
        <v>499</v>
      </c>
      <c r="D157" s="4">
        <v>1</v>
      </c>
      <c r="E157" s="15">
        <v>0</v>
      </c>
      <c r="F157" s="56">
        <v>1</v>
      </c>
      <c r="G157" s="7"/>
      <c r="H157" s="7"/>
      <c r="I157" s="7"/>
      <c r="J157" s="7"/>
      <c r="K157" s="7"/>
      <c r="L157" s="7"/>
    </row>
    <row r="158" spans="1:12" x14ac:dyDescent="0.3">
      <c r="A158" s="15" t="s">
        <v>849</v>
      </c>
      <c r="B158" s="26" t="s">
        <v>501</v>
      </c>
      <c r="C158" s="7" t="s">
        <v>502</v>
      </c>
      <c r="D158" s="4">
        <v>3</v>
      </c>
      <c r="E158" s="15">
        <v>1</v>
      </c>
      <c r="F158" s="56">
        <v>1</v>
      </c>
      <c r="G158" s="15">
        <v>1</v>
      </c>
      <c r="H158" s="15"/>
      <c r="I158" s="15"/>
      <c r="J158" s="15"/>
      <c r="K158" s="15"/>
      <c r="L158" s="15"/>
    </row>
    <row r="159" spans="1:12" x14ac:dyDescent="0.3">
      <c r="A159" s="15" t="s">
        <v>849</v>
      </c>
      <c r="B159" s="26" t="s">
        <v>504</v>
      </c>
      <c r="C159" s="7" t="s">
        <v>505</v>
      </c>
      <c r="D159" s="4">
        <v>1</v>
      </c>
      <c r="E159" s="15">
        <v>0</v>
      </c>
      <c r="F159" s="56">
        <v>1</v>
      </c>
      <c r="G159" s="15"/>
      <c r="H159" s="15"/>
      <c r="I159" s="15"/>
      <c r="J159" s="15"/>
      <c r="K159" s="15"/>
      <c r="L159" s="15"/>
    </row>
    <row r="160" spans="1:12" x14ac:dyDescent="0.3">
      <c r="A160" s="15" t="s">
        <v>849</v>
      </c>
      <c r="B160" s="26" t="s">
        <v>507</v>
      </c>
      <c r="C160" s="7" t="s">
        <v>508</v>
      </c>
      <c r="D160" s="4">
        <v>3</v>
      </c>
      <c r="E160" s="15">
        <v>0</v>
      </c>
      <c r="F160" s="56">
        <v>2</v>
      </c>
      <c r="G160" s="15">
        <v>1</v>
      </c>
      <c r="H160" s="15"/>
      <c r="I160" s="15"/>
      <c r="J160" s="15"/>
      <c r="K160" s="15"/>
      <c r="L160" s="15"/>
    </row>
    <row r="161" spans="1:12" x14ac:dyDescent="0.3">
      <c r="A161" s="15" t="s">
        <v>849</v>
      </c>
      <c r="B161" s="26" t="s">
        <v>510</v>
      </c>
      <c r="C161" s="7" t="s">
        <v>511</v>
      </c>
      <c r="D161" s="4">
        <v>1</v>
      </c>
      <c r="E161" s="15">
        <v>0</v>
      </c>
      <c r="F161" s="56">
        <v>1</v>
      </c>
      <c r="G161" s="15"/>
      <c r="H161" s="15"/>
      <c r="I161" s="15"/>
      <c r="J161" s="15"/>
      <c r="K161" s="15"/>
      <c r="L161" s="15"/>
    </row>
    <row r="162" spans="1:12" x14ac:dyDescent="0.3">
      <c r="A162" s="15" t="s">
        <v>849</v>
      </c>
      <c r="B162" s="26" t="s">
        <v>513</v>
      </c>
      <c r="C162" s="7" t="s">
        <v>514</v>
      </c>
      <c r="D162" s="4">
        <v>2</v>
      </c>
      <c r="E162" s="15">
        <v>0</v>
      </c>
      <c r="F162" s="56">
        <v>2</v>
      </c>
      <c r="G162" s="15"/>
      <c r="H162" s="15"/>
      <c r="I162" s="15"/>
      <c r="J162" s="15"/>
      <c r="K162" s="15"/>
      <c r="L162" s="15"/>
    </row>
    <row r="163" spans="1:12" x14ac:dyDescent="0.3">
      <c r="A163" s="15" t="s">
        <v>849</v>
      </c>
      <c r="B163" s="26" t="s">
        <v>516</v>
      </c>
      <c r="C163" s="7" t="s">
        <v>517</v>
      </c>
      <c r="D163" s="4">
        <v>3</v>
      </c>
      <c r="E163" s="15">
        <v>2</v>
      </c>
      <c r="F163" s="56">
        <v>1</v>
      </c>
      <c r="G163" s="15"/>
      <c r="H163" s="15"/>
      <c r="I163" s="15"/>
      <c r="J163" s="15"/>
      <c r="K163" s="15"/>
      <c r="L163" s="15"/>
    </row>
    <row r="164" spans="1:12" x14ac:dyDescent="0.3">
      <c r="A164" s="15" t="s">
        <v>849</v>
      </c>
      <c r="B164" s="26" t="s">
        <v>519</v>
      </c>
      <c r="C164" s="7" t="s">
        <v>520</v>
      </c>
      <c r="D164" s="4">
        <v>2</v>
      </c>
      <c r="E164" s="15">
        <v>0</v>
      </c>
      <c r="F164" s="56">
        <v>1</v>
      </c>
      <c r="G164" s="15">
        <v>1</v>
      </c>
      <c r="H164" s="15"/>
      <c r="I164" s="15"/>
      <c r="J164" s="15"/>
      <c r="K164" s="15"/>
      <c r="L164" s="15"/>
    </row>
    <row r="165" spans="1:12" x14ac:dyDescent="0.3">
      <c r="A165" s="15" t="s">
        <v>849</v>
      </c>
      <c r="B165" s="7" t="s">
        <v>522</v>
      </c>
      <c r="C165" s="7" t="s">
        <v>523</v>
      </c>
      <c r="D165" s="15">
        <v>8</v>
      </c>
      <c r="E165" s="15">
        <v>0</v>
      </c>
      <c r="F165" s="27">
        <v>0</v>
      </c>
      <c r="G165" s="15">
        <v>5</v>
      </c>
      <c r="H165" s="15">
        <v>2</v>
      </c>
      <c r="I165" s="15"/>
      <c r="J165" s="15"/>
      <c r="K165" s="15"/>
      <c r="L165" s="15">
        <v>1</v>
      </c>
    </row>
    <row r="166" spans="1:12" x14ac:dyDescent="0.3">
      <c r="A166" s="15" t="s">
        <v>849</v>
      </c>
      <c r="B166" s="7" t="s">
        <v>525</v>
      </c>
      <c r="C166" s="7" t="s">
        <v>526</v>
      </c>
      <c r="D166" s="15">
        <v>1</v>
      </c>
      <c r="E166" s="15"/>
      <c r="F166" s="27"/>
      <c r="G166" s="15">
        <v>1</v>
      </c>
      <c r="H166" s="15"/>
      <c r="I166" s="15"/>
      <c r="J166" s="15"/>
      <c r="K166" s="15"/>
      <c r="L166" s="15"/>
    </row>
    <row r="167" spans="1:12" x14ac:dyDescent="0.3">
      <c r="A167" s="15" t="s">
        <v>849</v>
      </c>
      <c r="B167" s="7" t="s">
        <v>528</v>
      </c>
      <c r="C167" s="7" t="s">
        <v>529</v>
      </c>
      <c r="D167" s="4">
        <v>1</v>
      </c>
      <c r="E167" s="15"/>
      <c r="F167" s="27"/>
      <c r="G167" s="15">
        <v>1</v>
      </c>
      <c r="H167" s="15"/>
      <c r="I167" s="15"/>
      <c r="J167" s="15"/>
      <c r="K167" s="15"/>
      <c r="L167" s="15"/>
    </row>
    <row r="168" spans="1:12" x14ac:dyDescent="0.3">
      <c r="A168" s="15" t="s">
        <v>849</v>
      </c>
      <c r="B168" s="7" t="s">
        <v>531</v>
      </c>
      <c r="C168" s="7" t="s">
        <v>532</v>
      </c>
      <c r="D168" s="4">
        <v>1</v>
      </c>
      <c r="E168" s="15"/>
      <c r="F168" s="27"/>
      <c r="G168" s="15">
        <v>1</v>
      </c>
      <c r="H168" s="15"/>
      <c r="I168" s="15"/>
      <c r="J168" s="15"/>
      <c r="K168" s="15"/>
      <c r="L168" s="15"/>
    </row>
    <row r="169" spans="1:12" x14ac:dyDescent="0.3">
      <c r="A169" s="15" t="s">
        <v>849</v>
      </c>
      <c r="B169" s="7" t="s">
        <v>534</v>
      </c>
      <c r="C169" s="7" t="s">
        <v>535</v>
      </c>
      <c r="D169" s="4">
        <v>7</v>
      </c>
      <c r="E169" s="15">
        <v>1</v>
      </c>
      <c r="F169" s="27"/>
      <c r="G169" s="15">
        <v>2</v>
      </c>
      <c r="H169" s="15">
        <v>2</v>
      </c>
      <c r="I169" s="15"/>
      <c r="J169" s="15"/>
      <c r="K169" s="15"/>
      <c r="L169" s="15">
        <v>2</v>
      </c>
    </row>
    <row r="170" spans="1:12" x14ac:dyDescent="0.3">
      <c r="A170" s="15" t="s">
        <v>849</v>
      </c>
      <c r="B170" s="7" t="s">
        <v>537</v>
      </c>
      <c r="C170" s="7" t="s">
        <v>538</v>
      </c>
      <c r="D170" s="4">
        <v>1</v>
      </c>
      <c r="E170" s="15"/>
      <c r="F170" s="27"/>
      <c r="G170" s="15">
        <v>1</v>
      </c>
      <c r="H170" s="15"/>
      <c r="I170" s="15"/>
      <c r="J170" s="15"/>
      <c r="K170" s="15"/>
      <c r="L170" s="15"/>
    </row>
    <row r="171" spans="1:12" x14ac:dyDescent="0.3">
      <c r="A171" s="15" t="s">
        <v>849</v>
      </c>
      <c r="B171" s="7" t="s">
        <v>540</v>
      </c>
      <c r="C171" s="7" t="s">
        <v>541</v>
      </c>
      <c r="D171" s="4">
        <v>1</v>
      </c>
      <c r="E171" s="15"/>
      <c r="F171" s="27"/>
      <c r="G171" s="15">
        <v>1</v>
      </c>
      <c r="H171" s="15"/>
      <c r="I171" s="15"/>
      <c r="J171" s="15"/>
      <c r="K171" s="15"/>
      <c r="L171" s="15"/>
    </row>
    <row r="172" spans="1:12" x14ac:dyDescent="0.3">
      <c r="A172" s="15" t="s">
        <v>849</v>
      </c>
      <c r="B172" s="7" t="s">
        <v>561</v>
      </c>
      <c r="C172" s="39" t="s">
        <v>562</v>
      </c>
      <c r="D172" s="4">
        <v>2</v>
      </c>
      <c r="E172" s="15">
        <v>1</v>
      </c>
      <c r="F172" s="27"/>
      <c r="G172" s="15">
        <v>1</v>
      </c>
      <c r="H172" s="15"/>
      <c r="I172" s="15"/>
      <c r="J172" s="15"/>
      <c r="K172" s="15"/>
      <c r="L172" s="15"/>
    </row>
    <row r="173" spans="1:12" x14ac:dyDescent="0.3">
      <c r="A173" s="15" t="s">
        <v>849</v>
      </c>
      <c r="B173" s="7" t="s">
        <v>564</v>
      </c>
      <c r="C173" s="39" t="s">
        <v>565</v>
      </c>
      <c r="D173" s="4">
        <v>12</v>
      </c>
      <c r="E173" s="15"/>
      <c r="F173" s="27"/>
      <c r="G173" s="15">
        <v>8</v>
      </c>
      <c r="H173" s="15"/>
      <c r="I173" s="15"/>
      <c r="J173" s="15"/>
      <c r="K173" s="15"/>
      <c r="L173" s="15">
        <v>4</v>
      </c>
    </row>
    <row r="174" spans="1:12" x14ac:dyDescent="0.3">
      <c r="A174" s="15" t="s">
        <v>849</v>
      </c>
      <c r="B174" s="7" t="s">
        <v>543</v>
      </c>
      <c r="C174" s="7" t="s">
        <v>544</v>
      </c>
      <c r="D174" s="4">
        <v>2</v>
      </c>
      <c r="E174" s="15"/>
      <c r="F174" s="27"/>
      <c r="G174" s="15">
        <v>2</v>
      </c>
      <c r="H174" s="15"/>
      <c r="I174" s="15"/>
      <c r="J174" s="15"/>
      <c r="K174" s="15"/>
      <c r="L174" s="15"/>
    </row>
    <row r="175" spans="1:12" x14ac:dyDescent="0.3">
      <c r="A175" s="15" t="s">
        <v>849</v>
      </c>
      <c r="B175" s="7" t="s">
        <v>546</v>
      </c>
      <c r="C175" s="7" t="s">
        <v>547</v>
      </c>
      <c r="D175" s="4">
        <v>4</v>
      </c>
      <c r="E175" s="15"/>
      <c r="F175" s="27"/>
      <c r="G175" s="15">
        <v>2</v>
      </c>
      <c r="H175" s="15">
        <v>2</v>
      </c>
      <c r="I175" s="15"/>
      <c r="J175" s="15"/>
      <c r="K175" s="15"/>
      <c r="L175" s="15"/>
    </row>
    <row r="176" spans="1:12" x14ac:dyDescent="0.3">
      <c r="A176" s="15" t="s">
        <v>849</v>
      </c>
      <c r="B176" s="7" t="s">
        <v>549</v>
      </c>
      <c r="C176" s="7" t="s">
        <v>550</v>
      </c>
      <c r="D176" s="4">
        <v>6</v>
      </c>
      <c r="E176" s="15"/>
      <c r="F176" s="27"/>
      <c r="G176" s="15">
        <v>2</v>
      </c>
      <c r="H176" s="15">
        <v>2</v>
      </c>
      <c r="I176" s="15"/>
      <c r="J176" s="15">
        <v>2</v>
      </c>
      <c r="K176" s="15"/>
      <c r="L176" s="15"/>
    </row>
    <row r="177" spans="1:12" x14ac:dyDescent="0.3">
      <c r="A177" s="15" t="s">
        <v>849</v>
      </c>
      <c r="B177" s="7" t="s">
        <v>552</v>
      </c>
      <c r="C177" s="7" t="s">
        <v>553</v>
      </c>
      <c r="D177" s="4">
        <v>6</v>
      </c>
      <c r="E177" s="15"/>
      <c r="F177" s="27"/>
      <c r="G177" s="15">
        <v>4</v>
      </c>
      <c r="H177" s="15">
        <v>2</v>
      </c>
      <c r="I177" s="15"/>
      <c r="J177" s="15"/>
      <c r="K177" s="15"/>
      <c r="L177" s="15"/>
    </row>
    <row r="178" spans="1:12" x14ac:dyDescent="0.3">
      <c r="A178" s="15" t="s">
        <v>849</v>
      </c>
      <c r="B178" s="7" t="s">
        <v>555</v>
      </c>
      <c r="C178" s="7" t="s">
        <v>556</v>
      </c>
      <c r="D178" s="4">
        <v>4</v>
      </c>
      <c r="E178" s="15"/>
      <c r="F178" s="27"/>
      <c r="G178" s="15">
        <v>2</v>
      </c>
      <c r="H178" s="15"/>
      <c r="I178" s="15"/>
      <c r="J178" s="15">
        <v>2</v>
      </c>
      <c r="K178" s="15"/>
      <c r="L178" s="15"/>
    </row>
    <row r="179" spans="1:12" x14ac:dyDescent="0.3">
      <c r="A179" s="15" t="s">
        <v>849</v>
      </c>
      <c r="B179" s="7" t="s">
        <v>558</v>
      </c>
      <c r="C179" s="7" t="s">
        <v>559</v>
      </c>
      <c r="D179" s="4">
        <v>2</v>
      </c>
      <c r="E179" s="15"/>
      <c r="F179" s="27"/>
      <c r="G179" s="15">
        <v>2</v>
      </c>
      <c r="H179" s="15"/>
      <c r="I179" s="15"/>
      <c r="J179" s="15"/>
      <c r="K179" s="15"/>
      <c r="L179" s="15"/>
    </row>
    <row r="180" spans="1:12" x14ac:dyDescent="0.3">
      <c r="A180" s="15" t="s">
        <v>849</v>
      </c>
      <c r="B180" s="7" t="s">
        <v>567</v>
      </c>
      <c r="C180" s="7" t="s">
        <v>568</v>
      </c>
      <c r="D180" s="15">
        <v>1</v>
      </c>
      <c r="E180" s="15"/>
      <c r="F180" s="27"/>
      <c r="G180" s="15">
        <v>1</v>
      </c>
      <c r="H180" s="15"/>
      <c r="I180" s="15"/>
      <c r="J180" s="15"/>
      <c r="K180" s="15"/>
      <c r="L180" s="15"/>
    </row>
    <row r="181" spans="1:12" x14ac:dyDescent="0.3">
      <c r="A181" s="15" t="s">
        <v>849</v>
      </c>
      <c r="B181" s="7" t="s">
        <v>570</v>
      </c>
      <c r="C181" s="7" t="s">
        <v>571</v>
      </c>
      <c r="D181" s="15">
        <v>1</v>
      </c>
      <c r="E181" s="15"/>
      <c r="F181" s="27"/>
      <c r="G181" s="15">
        <v>1</v>
      </c>
      <c r="H181" s="15"/>
      <c r="I181" s="15"/>
      <c r="J181" s="15"/>
      <c r="K181" s="15"/>
      <c r="L181" s="15"/>
    </row>
    <row r="182" spans="1:12" x14ac:dyDescent="0.3">
      <c r="A182" s="15" t="s">
        <v>849</v>
      </c>
      <c r="B182" s="7" t="s">
        <v>424</v>
      </c>
      <c r="C182" s="7" t="s">
        <v>573</v>
      </c>
      <c r="D182" s="15">
        <v>1</v>
      </c>
      <c r="E182" s="15"/>
      <c r="F182" s="27"/>
      <c r="G182" s="15">
        <v>1</v>
      </c>
      <c r="H182" s="15"/>
      <c r="I182" s="15"/>
      <c r="J182" s="15"/>
      <c r="K182" s="15"/>
      <c r="L182" s="15"/>
    </row>
    <row r="183" spans="1:12" x14ac:dyDescent="0.3">
      <c r="A183" s="15" t="s">
        <v>849</v>
      </c>
      <c r="B183" s="7" t="s">
        <v>574</v>
      </c>
      <c r="C183" s="7" t="s">
        <v>575</v>
      </c>
      <c r="D183" s="15">
        <v>3</v>
      </c>
      <c r="E183" s="15"/>
      <c r="F183" s="27"/>
      <c r="G183" s="15">
        <v>3</v>
      </c>
      <c r="H183" s="15"/>
      <c r="I183" s="15"/>
      <c r="J183" s="15"/>
      <c r="K183" s="15"/>
      <c r="L183" s="15"/>
    </row>
    <row r="184" spans="1:12" x14ac:dyDescent="0.3">
      <c r="A184" s="15" t="s">
        <v>849</v>
      </c>
      <c r="B184" s="7" t="s">
        <v>577</v>
      </c>
      <c r="C184" s="7" t="s">
        <v>578</v>
      </c>
      <c r="D184" s="15">
        <v>2</v>
      </c>
      <c r="E184" s="15"/>
      <c r="F184" s="27"/>
      <c r="G184" s="15">
        <v>2</v>
      </c>
      <c r="H184" s="15"/>
      <c r="I184" s="15"/>
      <c r="J184" s="15"/>
      <c r="K184" s="15"/>
      <c r="L184" s="15"/>
    </row>
    <row r="185" spans="1:12" x14ac:dyDescent="0.3">
      <c r="A185" s="15" t="s">
        <v>849</v>
      </c>
      <c r="B185" s="7" t="s">
        <v>580</v>
      </c>
      <c r="C185" s="7" t="s">
        <v>581</v>
      </c>
      <c r="D185" s="15">
        <v>1</v>
      </c>
      <c r="E185" s="15">
        <v>0</v>
      </c>
      <c r="F185" s="27"/>
      <c r="G185" s="15">
        <v>1</v>
      </c>
      <c r="H185" s="15"/>
      <c r="I185" s="15"/>
      <c r="J185" s="15"/>
      <c r="K185" s="15"/>
      <c r="L185" s="15"/>
    </row>
    <row r="186" spans="1:12" x14ac:dyDescent="0.3">
      <c r="A186" s="15" t="s">
        <v>849</v>
      </c>
      <c r="B186" s="7" t="s">
        <v>583</v>
      </c>
      <c r="C186" s="7" t="s">
        <v>584</v>
      </c>
      <c r="D186" s="15">
        <v>1</v>
      </c>
      <c r="E186" s="15"/>
      <c r="F186" s="27"/>
      <c r="G186" s="15">
        <v>1</v>
      </c>
      <c r="H186" s="15"/>
      <c r="I186" s="15"/>
      <c r="J186" s="15"/>
      <c r="K186" s="15"/>
      <c r="L186" s="15"/>
    </row>
    <row r="187" spans="1:12" x14ac:dyDescent="0.3">
      <c r="A187" s="15" t="s">
        <v>849</v>
      </c>
      <c r="B187" s="7" t="s">
        <v>586</v>
      </c>
      <c r="C187" s="7" t="s">
        <v>587</v>
      </c>
      <c r="D187" s="15">
        <v>5</v>
      </c>
      <c r="E187" s="15"/>
      <c r="F187" s="27"/>
      <c r="G187" s="15">
        <v>5</v>
      </c>
      <c r="H187" s="15"/>
      <c r="I187" s="15"/>
      <c r="J187" s="15"/>
      <c r="K187" s="15"/>
      <c r="L187" s="15"/>
    </row>
    <row r="188" spans="1:12" x14ac:dyDescent="0.3">
      <c r="A188" s="15" t="s">
        <v>849</v>
      </c>
      <c r="B188" s="7" t="s">
        <v>589</v>
      </c>
      <c r="C188" s="7" t="s">
        <v>590</v>
      </c>
      <c r="D188" s="15">
        <v>1</v>
      </c>
      <c r="E188" s="15">
        <v>1</v>
      </c>
      <c r="F188" s="27"/>
      <c r="G188" s="15">
        <v>0</v>
      </c>
      <c r="H188" s="15"/>
      <c r="I188" s="15"/>
      <c r="J188" s="15"/>
      <c r="K188" s="15"/>
      <c r="L188" s="15"/>
    </row>
    <row r="189" spans="1:12" x14ac:dyDescent="0.3">
      <c r="A189" s="15" t="s">
        <v>849</v>
      </c>
      <c r="B189" s="7" t="s">
        <v>592</v>
      </c>
      <c r="C189" s="7" t="s">
        <v>869</v>
      </c>
      <c r="D189" s="15">
        <v>5</v>
      </c>
      <c r="E189" s="15">
        <v>3</v>
      </c>
      <c r="F189" s="27"/>
      <c r="G189" s="15">
        <v>2</v>
      </c>
      <c r="H189" s="15"/>
      <c r="I189" s="15"/>
      <c r="J189" s="15"/>
      <c r="K189" s="15"/>
      <c r="L189" s="15"/>
    </row>
    <row r="190" spans="1:12" x14ac:dyDescent="0.3">
      <c r="A190" s="15" t="s">
        <v>849</v>
      </c>
      <c r="B190" s="7" t="s">
        <v>595</v>
      </c>
      <c r="C190" s="7" t="s">
        <v>596</v>
      </c>
      <c r="D190" s="15">
        <v>2</v>
      </c>
      <c r="E190" s="15">
        <v>1</v>
      </c>
      <c r="F190" s="27"/>
      <c r="G190" s="15">
        <v>1</v>
      </c>
      <c r="H190" s="15"/>
      <c r="I190" s="15"/>
      <c r="J190" s="15"/>
      <c r="K190" s="15"/>
      <c r="L190" s="15"/>
    </row>
    <row r="191" spans="1:12" x14ac:dyDescent="0.3">
      <c r="A191" s="15" t="s">
        <v>849</v>
      </c>
      <c r="B191" s="7" t="s">
        <v>598</v>
      </c>
      <c r="C191" s="7" t="s">
        <v>599</v>
      </c>
      <c r="D191" s="15">
        <v>1</v>
      </c>
      <c r="E191" s="15"/>
      <c r="F191" s="27"/>
      <c r="G191" s="15">
        <v>1</v>
      </c>
      <c r="H191" s="15"/>
      <c r="I191" s="15"/>
      <c r="J191" s="15"/>
      <c r="K191" s="15"/>
      <c r="L191" s="15"/>
    </row>
    <row r="192" spans="1:12" x14ac:dyDescent="0.3">
      <c r="A192" s="15" t="s">
        <v>849</v>
      </c>
      <c r="B192" s="7" t="s">
        <v>601</v>
      </c>
      <c r="C192" s="7" t="s">
        <v>602</v>
      </c>
      <c r="D192" s="15">
        <v>1</v>
      </c>
      <c r="E192" s="15">
        <v>1</v>
      </c>
      <c r="F192" s="27"/>
      <c r="G192" s="15"/>
      <c r="H192" s="15"/>
      <c r="I192" s="15"/>
      <c r="J192" s="15"/>
      <c r="K192" s="15"/>
      <c r="L192" s="15"/>
    </row>
    <row r="193" spans="1:12" x14ac:dyDescent="0.3">
      <c r="A193" s="15" t="s">
        <v>849</v>
      </c>
      <c r="B193" s="7" t="s">
        <v>604</v>
      </c>
      <c r="C193" s="7" t="s">
        <v>605</v>
      </c>
      <c r="D193" s="15">
        <v>1</v>
      </c>
      <c r="E193" s="15">
        <v>1</v>
      </c>
      <c r="F193" s="27"/>
      <c r="G193" s="15"/>
      <c r="H193" s="15"/>
      <c r="I193" s="15"/>
      <c r="J193" s="15"/>
      <c r="K193" s="15"/>
      <c r="L193" s="15"/>
    </row>
    <row r="194" spans="1:12" x14ac:dyDescent="0.3">
      <c r="A194" s="15" t="s">
        <v>849</v>
      </c>
      <c r="B194" s="7" t="s">
        <v>607</v>
      </c>
      <c r="C194" s="7" t="s">
        <v>608</v>
      </c>
      <c r="D194" s="15">
        <v>1</v>
      </c>
      <c r="E194" s="15">
        <v>1</v>
      </c>
      <c r="F194" s="27"/>
      <c r="G194" s="15"/>
      <c r="H194" s="15"/>
      <c r="I194" s="15"/>
      <c r="J194" s="15"/>
      <c r="K194" s="15"/>
      <c r="L194" s="15"/>
    </row>
    <row r="195" spans="1:12" x14ac:dyDescent="0.3">
      <c r="A195" s="15" t="s">
        <v>849</v>
      </c>
      <c r="B195" s="7" t="s">
        <v>610</v>
      </c>
      <c r="C195" s="7" t="s">
        <v>611</v>
      </c>
      <c r="D195" s="15">
        <v>1</v>
      </c>
      <c r="E195" s="15">
        <v>1</v>
      </c>
      <c r="F195" s="27"/>
      <c r="G195" s="15"/>
      <c r="H195" s="15"/>
      <c r="I195" s="15"/>
      <c r="J195" s="15"/>
      <c r="K195" s="15"/>
      <c r="L195" s="15"/>
    </row>
    <row r="196" spans="1:12" x14ac:dyDescent="0.3">
      <c r="A196" s="15" t="s">
        <v>849</v>
      </c>
      <c r="B196" s="7" t="s">
        <v>613</v>
      </c>
      <c r="C196" s="7" t="s">
        <v>614</v>
      </c>
      <c r="D196" s="15">
        <v>2</v>
      </c>
      <c r="E196" s="15">
        <v>2</v>
      </c>
      <c r="F196" s="27"/>
      <c r="G196" s="15"/>
      <c r="H196" s="15"/>
      <c r="I196" s="15"/>
      <c r="J196" s="15"/>
      <c r="K196" s="15"/>
      <c r="L196" s="15"/>
    </row>
    <row r="197" spans="1:12" x14ac:dyDescent="0.3">
      <c r="A197" s="15" t="s">
        <v>849</v>
      </c>
      <c r="B197" s="7" t="s">
        <v>616</v>
      </c>
      <c r="C197" s="7" t="s">
        <v>617</v>
      </c>
      <c r="D197" s="15">
        <v>6</v>
      </c>
      <c r="E197" s="15">
        <v>2</v>
      </c>
      <c r="F197" s="27"/>
      <c r="G197" s="15">
        <v>1</v>
      </c>
      <c r="H197" s="15">
        <v>2</v>
      </c>
      <c r="I197" s="15"/>
      <c r="J197" s="15"/>
      <c r="K197" s="15"/>
      <c r="L197" s="15">
        <v>1</v>
      </c>
    </row>
    <row r="198" spans="1:12" x14ac:dyDescent="0.3">
      <c r="A198" s="15" t="s">
        <v>849</v>
      </c>
      <c r="B198" s="7" t="s">
        <v>619</v>
      </c>
      <c r="C198" s="7" t="s">
        <v>620</v>
      </c>
      <c r="D198" s="15">
        <v>2</v>
      </c>
      <c r="E198" s="15">
        <v>1</v>
      </c>
      <c r="F198" s="27"/>
      <c r="G198" s="15">
        <v>1</v>
      </c>
      <c r="H198" s="15"/>
      <c r="I198" s="15"/>
      <c r="J198" s="15"/>
      <c r="K198" s="15"/>
      <c r="L198" s="15"/>
    </row>
    <row r="199" spans="1:12" x14ac:dyDescent="0.3">
      <c r="A199" s="15" t="s">
        <v>849</v>
      </c>
      <c r="B199" s="7" t="s">
        <v>622</v>
      </c>
      <c r="C199" s="7" t="s">
        <v>623</v>
      </c>
      <c r="D199" s="15">
        <v>5</v>
      </c>
      <c r="E199" s="15">
        <v>3</v>
      </c>
      <c r="F199" s="27"/>
      <c r="G199" s="15"/>
      <c r="H199" s="15">
        <v>2</v>
      </c>
      <c r="I199" s="15"/>
      <c r="J199" s="15"/>
      <c r="K199" s="15"/>
      <c r="L199" s="15"/>
    </row>
    <row r="200" spans="1:12" x14ac:dyDescent="0.3">
      <c r="A200" s="15" t="s">
        <v>849</v>
      </c>
      <c r="B200" s="7" t="s">
        <v>625</v>
      </c>
      <c r="C200" s="7" t="s">
        <v>626</v>
      </c>
      <c r="D200" s="15">
        <v>2</v>
      </c>
      <c r="E200" s="15">
        <v>1</v>
      </c>
      <c r="F200" s="27"/>
      <c r="G200" s="15">
        <v>1</v>
      </c>
      <c r="H200" s="15"/>
      <c r="I200" s="15"/>
      <c r="J200" s="15"/>
      <c r="K200" s="15"/>
      <c r="L200" s="15"/>
    </row>
    <row r="201" spans="1:12" x14ac:dyDescent="0.3">
      <c r="A201" s="15" t="s">
        <v>849</v>
      </c>
      <c r="B201" s="7" t="s">
        <v>628</v>
      </c>
      <c r="C201" s="7" t="s">
        <v>629</v>
      </c>
      <c r="D201" s="15">
        <v>1</v>
      </c>
      <c r="E201" s="15">
        <v>1</v>
      </c>
      <c r="F201" s="27"/>
      <c r="G201" s="15"/>
      <c r="H201" s="15"/>
      <c r="I201" s="15"/>
      <c r="J201" s="15"/>
      <c r="K201" s="15"/>
      <c r="L201" s="15"/>
    </row>
    <row r="202" spans="1:12" x14ac:dyDescent="0.3">
      <c r="A202" s="15" t="s">
        <v>849</v>
      </c>
      <c r="B202" s="7" t="s">
        <v>631</v>
      </c>
      <c r="C202" s="7" t="s">
        <v>632</v>
      </c>
      <c r="D202" s="15">
        <v>27</v>
      </c>
      <c r="E202" s="15">
        <v>13</v>
      </c>
      <c r="F202" s="27"/>
      <c r="G202" s="15">
        <v>6</v>
      </c>
      <c r="H202" s="15">
        <v>8</v>
      </c>
      <c r="I202" s="15"/>
      <c r="J202" s="15"/>
      <c r="K202" s="15"/>
      <c r="L202" s="15"/>
    </row>
    <row r="203" spans="1:12" x14ac:dyDescent="0.3">
      <c r="A203" s="15" t="s">
        <v>849</v>
      </c>
      <c r="B203" s="7" t="s">
        <v>870</v>
      </c>
      <c r="C203" s="7" t="s">
        <v>871</v>
      </c>
      <c r="D203" s="15">
        <v>2</v>
      </c>
      <c r="E203" s="15"/>
      <c r="F203" s="27"/>
      <c r="G203" s="15">
        <v>2</v>
      </c>
      <c r="H203" s="15"/>
      <c r="I203" s="15"/>
      <c r="J203" s="15"/>
      <c r="K203" s="15"/>
      <c r="L203" s="15"/>
    </row>
    <row r="204" spans="1:12" x14ac:dyDescent="0.3">
      <c r="A204" s="15" t="s">
        <v>849</v>
      </c>
      <c r="B204" s="7" t="s">
        <v>872</v>
      </c>
      <c r="C204" s="7" t="s">
        <v>873</v>
      </c>
      <c r="D204" s="15">
        <v>1</v>
      </c>
      <c r="E204" s="15"/>
      <c r="F204" s="27"/>
      <c r="G204" s="15">
        <v>1</v>
      </c>
      <c r="H204" s="15"/>
      <c r="I204" s="15"/>
      <c r="J204" s="15"/>
      <c r="K204" s="15"/>
      <c r="L204" s="15"/>
    </row>
    <row r="205" spans="1:12" x14ac:dyDescent="0.3">
      <c r="A205" s="15" t="s">
        <v>849</v>
      </c>
      <c r="B205" s="7" t="s">
        <v>874</v>
      </c>
      <c r="C205" s="7" t="s">
        <v>644</v>
      </c>
      <c r="D205" s="15">
        <v>3</v>
      </c>
      <c r="E205" s="15"/>
      <c r="F205" s="27"/>
      <c r="G205" s="15">
        <v>2</v>
      </c>
      <c r="H205" s="15"/>
      <c r="I205" s="15"/>
      <c r="J205" s="15"/>
      <c r="K205" s="15"/>
      <c r="L205" s="15">
        <v>1</v>
      </c>
    </row>
    <row r="206" spans="1:12" x14ac:dyDescent="0.3">
      <c r="A206" s="15" t="s">
        <v>849</v>
      </c>
      <c r="B206" s="7" t="s">
        <v>875</v>
      </c>
      <c r="C206" s="7" t="s">
        <v>647</v>
      </c>
      <c r="D206" s="15">
        <v>4</v>
      </c>
      <c r="E206" s="15"/>
      <c r="F206" s="27"/>
      <c r="G206" s="15">
        <v>4</v>
      </c>
      <c r="H206" s="15"/>
      <c r="I206" s="15"/>
      <c r="J206" s="15"/>
      <c r="K206" s="15"/>
      <c r="L206" s="15"/>
    </row>
    <row r="207" spans="1:12" x14ac:dyDescent="0.3">
      <c r="A207" s="15" t="s">
        <v>849</v>
      </c>
      <c r="B207" s="7" t="s">
        <v>876</v>
      </c>
      <c r="C207" s="7" t="s">
        <v>650</v>
      </c>
      <c r="D207" s="15">
        <v>2</v>
      </c>
      <c r="E207" s="15"/>
      <c r="F207" s="27"/>
      <c r="G207" s="15">
        <v>2</v>
      </c>
      <c r="H207" s="15"/>
      <c r="I207" s="15"/>
      <c r="J207" s="15"/>
      <c r="K207" s="15"/>
      <c r="L207" s="15"/>
    </row>
    <row r="208" spans="1:12" x14ac:dyDescent="0.3">
      <c r="A208" s="15" t="s">
        <v>849</v>
      </c>
      <c r="B208" s="7" t="s">
        <v>877</v>
      </c>
      <c r="C208" s="7" t="s">
        <v>653</v>
      </c>
      <c r="D208" s="15">
        <v>1</v>
      </c>
      <c r="E208" s="15"/>
      <c r="F208" s="27"/>
      <c r="G208" s="15">
        <v>1</v>
      </c>
      <c r="H208" s="15"/>
      <c r="I208" s="15"/>
      <c r="J208" s="15"/>
      <c r="K208" s="15"/>
      <c r="L208" s="15"/>
    </row>
    <row r="209" spans="1:12" x14ac:dyDescent="0.3">
      <c r="A209" s="15" t="s">
        <v>849</v>
      </c>
      <c r="B209" s="7" t="s">
        <v>878</v>
      </c>
      <c r="C209" s="7" t="s">
        <v>656</v>
      </c>
      <c r="D209" s="15">
        <v>1</v>
      </c>
      <c r="E209" s="15"/>
      <c r="F209" s="27"/>
      <c r="G209" s="15">
        <v>1</v>
      </c>
      <c r="H209" s="15"/>
      <c r="I209" s="15"/>
      <c r="J209" s="15"/>
      <c r="K209" s="15"/>
      <c r="L209" s="15"/>
    </row>
    <row r="210" spans="1:12" x14ac:dyDescent="0.3">
      <c r="A210" s="15" t="s">
        <v>849</v>
      </c>
      <c r="B210" s="7" t="s">
        <v>879</v>
      </c>
      <c r="C210" s="7" t="s">
        <v>659</v>
      </c>
      <c r="D210" s="15">
        <v>1</v>
      </c>
      <c r="E210" s="15"/>
      <c r="F210" s="27"/>
      <c r="G210" s="15">
        <v>1</v>
      </c>
      <c r="H210" s="15"/>
      <c r="I210" s="15"/>
      <c r="J210" s="15"/>
      <c r="K210" s="15"/>
      <c r="L210" s="15"/>
    </row>
    <row r="211" spans="1:12" x14ac:dyDescent="0.3">
      <c r="A211" s="15" t="s">
        <v>849</v>
      </c>
      <c r="B211" s="7" t="s">
        <v>661</v>
      </c>
      <c r="C211" s="7" t="s">
        <v>662</v>
      </c>
      <c r="D211" s="15">
        <v>4</v>
      </c>
      <c r="E211" s="15"/>
      <c r="F211" s="27"/>
      <c r="G211" s="15"/>
      <c r="H211" s="15">
        <v>4</v>
      </c>
      <c r="I211" s="15"/>
      <c r="J211" s="15"/>
      <c r="K211" s="15"/>
      <c r="L211" s="15"/>
    </row>
    <row r="212" spans="1:12" x14ac:dyDescent="0.3">
      <c r="A212" s="15" t="s">
        <v>849</v>
      </c>
      <c r="B212" s="7" t="s">
        <v>664</v>
      </c>
      <c r="C212" s="7" t="s">
        <v>665</v>
      </c>
      <c r="D212" s="15">
        <v>2</v>
      </c>
      <c r="E212" s="15"/>
      <c r="F212" s="27"/>
      <c r="G212" s="15"/>
      <c r="H212" s="15">
        <v>2</v>
      </c>
      <c r="I212" s="15"/>
      <c r="J212" s="15"/>
      <c r="K212" s="15"/>
      <c r="L212" s="15"/>
    </row>
    <row r="213" spans="1:12" x14ac:dyDescent="0.3">
      <c r="A213" s="15" t="s">
        <v>849</v>
      </c>
      <c r="B213" s="7" t="s">
        <v>667</v>
      </c>
      <c r="C213" s="7" t="s">
        <v>668</v>
      </c>
      <c r="D213" s="15">
        <v>4</v>
      </c>
      <c r="E213" s="15"/>
      <c r="F213" s="27"/>
      <c r="G213" s="15"/>
      <c r="H213" s="15">
        <v>4</v>
      </c>
      <c r="I213" s="15"/>
      <c r="J213" s="15"/>
      <c r="K213" s="15"/>
      <c r="L213" s="15"/>
    </row>
    <row r="214" spans="1:12" x14ac:dyDescent="0.3">
      <c r="A214" s="15" t="s">
        <v>849</v>
      </c>
      <c r="B214" s="7" t="s">
        <v>670</v>
      </c>
      <c r="C214" s="7" t="s">
        <v>671</v>
      </c>
      <c r="D214" s="15">
        <v>4</v>
      </c>
      <c r="E214" s="15"/>
      <c r="F214" s="27"/>
      <c r="G214" s="15"/>
      <c r="H214" s="15">
        <v>4</v>
      </c>
      <c r="I214" s="15"/>
      <c r="J214" s="15"/>
      <c r="K214" s="15"/>
      <c r="L214" s="15"/>
    </row>
    <row r="215" spans="1:12" x14ac:dyDescent="0.3">
      <c r="A215" s="15" t="s">
        <v>849</v>
      </c>
      <c r="B215" s="7" t="s">
        <v>673</v>
      </c>
      <c r="C215" s="7" t="s">
        <v>674</v>
      </c>
      <c r="D215" s="15">
        <v>2</v>
      </c>
      <c r="E215" s="15"/>
      <c r="F215" s="27"/>
      <c r="G215" s="15"/>
      <c r="H215" s="15">
        <v>2</v>
      </c>
      <c r="I215" s="15"/>
      <c r="J215" s="15"/>
      <c r="K215" s="15"/>
      <c r="L215" s="15"/>
    </row>
    <row r="216" spans="1:12" x14ac:dyDescent="0.3">
      <c r="A216" s="15" t="s">
        <v>849</v>
      </c>
      <c r="B216" s="7" t="s">
        <v>676</v>
      </c>
      <c r="C216" s="7" t="s">
        <v>677</v>
      </c>
      <c r="D216" s="15">
        <v>4</v>
      </c>
      <c r="E216" s="15">
        <v>1</v>
      </c>
      <c r="F216" s="27"/>
      <c r="G216" s="15"/>
      <c r="H216" s="15">
        <v>2</v>
      </c>
      <c r="I216" s="15"/>
      <c r="J216" s="15">
        <v>1</v>
      </c>
      <c r="K216" s="15"/>
      <c r="L216" s="15"/>
    </row>
    <row r="217" spans="1:12" x14ac:dyDescent="0.3">
      <c r="A217" s="15" t="s">
        <v>849</v>
      </c>
      <c r="B217" s="7" t="s">
        <v>679</v>
      </c>
      <c r="C217" s="7" t="s">
        <v>680</v>
      </c>
      <c r="D217" s="15">
        <v>5</v>
      </c>
      <c r="E217" s="15">
        <v>1</v>
      </c>
      <c r="F217" s="27"/>
      <c r="G217" s="15"/>
      <c r="H217" s="15">
        <v>1</v>
      </c>
      <c r="I217" s="15"/>
      <c r="J217" s="15">
        <v>1</v>
      </c>
      <c r="K217" s="15"/>
      <c r="L217" s="15">
        <v>2</v>
      </c>
    </row>
    <row r="218" spans="1:12" x14ac:dyDescent="0.3">
      <c r="A218" s="15" t="s">
        <v>849</v>
      </c>
      <c r="B218" s="7" t="s">
        <v>682</v>
      </c>
      <c r="C218" s="7" t="s">
        <v>683</v>
      </c>
      <c r="D218" s="15">
        <v>2</v>
      </c>
      <c r="E218" s="15"/>
      <c r="F218" s="27"/>
      <c r="G218" s="15"/>
      <c r="H218" s="15"/>
      <c r="I218" s="15"/>
      <c r="J218" s="15"/>
      <c r="K218" s="15">
        <v>1</v>
      </c>
      <c r="L218" s="15">
        <v>2</v>
      </c>
    </row>
    <row r="219" spans="1:12" x14ac:dyDescent="0.3">
      <c r="A219" s="15" t="s">
        <v>849</v>
      </c>
      <c r="B219" s="7" t="s">
        <v>684</v>
      </c>
      <c r="C219" s="7" t="s">
        <v>685</v>
      </c>
      <c r="D219" s="15">
        <v>1</v>
      </c>
      <c r="E219" s="15"/>
      <c r="F219" s="27"/>
      <c r="G219" s="15"/>
      <c r="H219" s="15"/>
      <c r="I219" s="15"/>
      <c r="J219" s="15"/>
      <c r="K219" s="15">
        <v>1</v>
      </c>
      <c r="L219" s="15"/>
    </row>
    <row r="220" spans="1:12" x14ac:dyDescent="0.3">
      <c r="A220" s="15" t="s">
        <v>849</v>
      </c>
      <c r="B220" s="7" t="s">
        <v>687</v>
      </c>
      <c r="C220" s="7" t="s">
        <v>688</v>
      </c>
      <c r="D220" s="15">
        <v>2</v>
      </c>
      <c r="E220" s="15">
        <v>2</v>
      </c>
      <c r="F220" s="27"/>
      <c r="G220" s="15"/>
      <c r="H220" s="15"/>
      <c r="I220" s="15"/>
      <c r="J220" s="15"/>
      <c r="K220" s="15"/>
      <c r="L220" s="15"/>
    </row>
    <row r="221" spans="1:12" x14ac:dyDescent="0.3">
      <c r="A221" s="15" t="s">
        <v>849</v>
      </c>
      <c r="B221" s="7" t="s">
        <v>690</v>
      </c>
      <c r="C221" s="7" t="s">
        <v>691</v>
      </c>
      <c r="D221" s="15">
        <v>2</v>
      </c>
      <c r="E221" s="15">
        <v>2</v>
      </c>
      <c r="F221" s="27"/>
      <c r="G221" s="15"/>
      <c r="H221" s="15"/>
      <c r="I221" s="15"/>
      <c r="J221" s="15"/>
      <c r="K221" s="15"/>
      <c r="L221" s="15">
        <v>4</v>
      </c>
    </row>
    <row r="222" spans="1:12" x14ac:dyDescent="0.3">
      <c r="A222" s="15" t="s">
        <v>849</v>
      </c>
      <c r="B222" s="7" t="s">
        <v>880</v>
      </c>
      <c r="C222" s="7" t="s">
        <v>697</v>
      </c>
      <c r="D222" s="15">
        <v>5</v>
      </c>
      <c r="E222" s="15">
        <v>1</v>
      </c>
      <c r="F222" s="27"/>
      <c r="G222" s="15"/>
      <c r="H222" s="15"/>
      <c r="I222" s="15"/>
      <c r="J222" s="15"/>
      <c r="K222" s="15"/>
      <c r="L222" s="15">
        <v>4</v>
      </c>
    </row>
    <row r="223" spans="1:12" x14ac:dyDescent="0.3">
      <c r="A223" s="15" t="s">
        <v>849</v>
      </c>
      <c r="B223" s="7" t="s">
        <v>881</v>
      </c>
      <c r="C223" s="7" t="s">
        <v>882</v>
      </c>
      <c r="D223" s="15">
        <v>3</v>
      </c>
      <c r="E223" s="15">
        <v>1</v>
      </c>
      <c r="F223" s="27"/>
      <c r="G223" s="15"/>
      <c r="H223" s="15"/>
      <c r="I223" s="15"/>
      <c r="J223" s="15"/>
      <c r="K223" s="15"/>
      <c r="L223" s="15">
        <v>2</v>
      </c>
    </row>
    <row r="224" spans="1:12" x14ac:dyDescent="0.3">
      <c r="A224" s="15" t="s">
        <v>849</v>
      </c>
      <c r="B224" s="7" t="s">
        <v>705</v>
      </c>
      <c r="C224" s="7" t="s">
        <v>706</v>
      </c>
      <c r="D224" s="15">
        <v>3</v>
      </c>
      <c r="E224" s="15"/>
      <c r="F224" s="27"/>
      <c r="G224" s="15"/>
      <c r="H224" s="15"/>
      <c r="I224" s="15"/>
      <c r="J224" s="15"/>
      <c r="K224" s="15">
        <v>3</v>
      </c>
      <c r="L224" s="15"/>
    </row>
    <row r="225" spans="1:12" x14ac:dyDescent="0.3">
      <c r="A225" s="15" t="s">
        <v>849</v>
      </c>
      <c r="B225" s="7" t="s">
        <v>708</v>
      </c>
      <c r="C225" s="7" t="s">
        <v>709</v>
      </c>
      <c r="D225" s="15">
        <v>3</v>
      </c>
      <c r="E225" s="15"/>
      <c r="F225" s="27"/>
      <c r="G225" s="15"/>
      <c r="H225" s="15"/>
      <c r="I225" s="15"/>
      <c r="J225" s="15"/>
      <c r="K225" s="15">
        <v>3</v>
      </c>
      <c r="L225" s="15"/>
    </row>
    <row r="226" spans="1:12" x14ac:dyDescent="0.3">
      <c r="A226" s="15" t="s">
        <v>849</v>
      </c>
      <c r="B226" s="7" t="s">
        <v>711</v>
      </c>
      <c r="C226" s="7" t="s">
        <v>712</v>
      </c>
      <c r="D226" s="15">
        <v>6</v>
      </c>
      <c r="E226" s="15"/>
      <c r="F226" s="27"/>
      <c r="G226" s="15"/>
      <c r="H226" s="15"/>
      <c r="I226" s="15"/>
      <c r="J226" s="15"/>
      <c r="K226" s="15">
        <v>6</v>
      </c>
      <c r="L226" s="15"/>
    </row>
    <row r="227" spans="1:12" x14ac:dyDescent="0.3">
      <c r="A227" s="15" t="s">
        <v>849</v>
      </c>
      <c r="B227" s="7" t="s">
        <v>746</v>
      </c>
      <c r="C227" s="7" t="s">
        <v>747</v>
      </c>
      <c r="D227" s="15">
        <v>1</v>
      </c>
      <c r="E227" s="15"/>
      <c r="F227" s="27"/>
      <c r="G227" s="15"/>
      <c r="H227" s="15"/>
      <c r="I227" s="15"/>
      <c r="J227" s="15"/>
      <c r="K227" s="15"/>
      <c r="L227" s="15">
        <v>1</v>
      </c>
    </row>
    <row r="228" spans="1:12" x14ac:dyDescent="0.3">
      <c r="A228" s="15" t="s">
        <v>849</v>
      </c>
      <c r="B228" s="7" t="s">
        <v>717</v>
      </c>
      <c r="C228" s="7" t="s">
        <v>718</v>
      </c>
      <c r="D228" s="15">
        <v>3</v>
      </c>
      <c r="E228" s="15"/>
      <c r="F228" s="27"/>
      <c r="G228" s="15"/>
      <c r="H228" s="15"/>
      <c r="I228" s="15"/>
      <c r="J228" s="15"/>
      <c r="K228" s="15"/>
      <c r="L228" s="15">
        <v>3</v>
      </c>
    </row>
    <row r="229" spans="1:12" x14ac:dyDescent="0.3">
      <c r="A229" s="15" t="s">
        <v>849</v>
      </c>
      <c r="B229" s="7" t="s">
        <v>720</v>
      </c>
      <c r="C229" s="7" t="s">
        <v>721</v>
      </c>
      <c r="D229" s="15">
        <v>1</v>
      </c>
      <c r="E229" s="15"/>
      <c r="F229" s="27"/>
      <c r="G229" s="15"/>
      <c r="H229" s="15"/>
      <c r="I229" s="15"/>
      <c r="J229" s="15"/>
      <c r="K229" s="15"/>
      <c r="L229" s="15">
        <v>1</v>
      </c>
    </row>
    <row r="230" spans="1:12" x14ac:dyDescent="0.3">
      <c r="A230" s="15" t="s">
        <v>849</v>
      </c>
      <c r="B230" s="7" t="s">
        <v>723</v>
      </c>
      <c r="C230" s="7" t="s">
        <v>883</v>
      </c>
      <c r="D230" s="15">
        <v>1</v>
      </c>
      <c r="E230" s="15"/>
      <c r="F230" s="27"/>
      <c r="G230" s="15"/>
      <c r="H230" s="15"/>
      <c r="I230" s="15"/>
      <c r="J230" s="15"/>
      <c r="K230" s="15"/>
      <c r="L230" s="15">
        <v>1</v>
      </c>
    </row>
    <row r="231" spans="1:12" x14ac:dyDescent="0.3">
      <c r="A231" s="15" t="s">
        <v>849</v>
      </c>
      <c r="B231" s="7" t="s">
        <v>726</v>
      </c>
      <c r="C231" s="7" t="s">
        <v>727</v>
      </c>
      <c r="D231" s="15">
        <v>2</v>
      </c>
      <c r="E231" s="15"/>
      <c r="F231" s="27"/>
      <c r="G231" s="15"/>
      <c r="H231" s="15"/>
      <c r="I231" s="15"/>
      <c r="J231" s="15">
        <v>1</v>
      </c>
      <c r="K231" s="15"/>
      <c r="L231" s="15">
        <v>1</v>
      </c>
    </row>
    <row r="232" spans="1:12" x14ac:dyDescent="0.3">
      <c r="A232" s="15" t="s">
        <v>849</v>
      </c>
      <c r="B232" s="7" t="s">
        <v>729</v>
      </c>
      <c r="C232" s="7" t="s">
        <v>730</v>
      </c>
      <c r="D232" s="15">
        <v>2</v>
      </c>
      <c r="E232" s="15"/>
      <c r="F232" s="27"/>
      <c r="G232" s="15"/>
      <c r="H232" s="15"/>
      <c r="I232" s="15"/>
      <c r="J232" s="15"/>
      <c r="K232" s="15"/>
      <c r="L232" s="15">
        <v>2</v>
      </c>
    </row>
    <row r="233" spans="1:12" x14ac:dyDescent="0.3">
      <c r="A233" s="15" t="s">
        <v>849</v>
      </c>
      <c r="B233" s="7" t="s">
        <v>732</v>
      </c>
      <c r="C233" s="7" t="s">
        <v>733</v>
      </c>
      <c r="D233" s="15">
        <v>2</v>
      </c>
      <c r="E233" s="15"/>
      <c r="F233" s="27"/>
      <c r="G233" s="15"/>
      <c r="H233" s="15"/>
      <c r="I233" s="15"/>
      <c r="J233" s="15"/>
      <c r="K233" s="15"/>
      <c r="L233" s="15">
        <v>2</v>
      </c>
    </row>
    <row r="234" spans="1:12" x14ac:dyDescent="0.3">
      <c r="A234" s="15" t="s">
        <v>849</v>
      </c>
      <c r="B234" s="7" t="s">
        <v>735</v>
      </c>
      <c r="C234" s="7" t="s">
        <v>736</v>
      </c>
      <c r="D234" s="15">
        <v>3</v>
      </c>
      <c r="E234" s="15"/>
      <c r="F234" s="27"/>
      <c r="G234" s="15"/>
      <c r="H234" s="15"/>
      <c r="I234" s="15"/>
      <c r="J234" s="15"/>
      <c r="K234" s="15"/>
      <c r="L234" s="15">
        <v>3</v>
      </c>
    </row>
    <row r="235" spans="1:12" x14ac:dyDescent="0.3">
      <c r="A235" s="15" t="s">
        <v>849</v>
      </c>
      <c r="B235" s="7" t="s">
        <v>737</v>
      </c>
      <c r="C235" s="7" t="s">
        <v>738</v>
      </c>
      <c r="D235" s="15">
        <v>4</v>
      </c>
      <c r="E235" s="15"/>
      <c r="F235" s="27"/>
      <c r="G235" s="15"/>
      <c r="H235" s="15"/>
      <c r="I235" s="15"/>
      <c r="J235" s="15"/>
      <c r="K235" s="15"/>
      <c r="L235" s="15">
        <v>4</v>
      </c>
    </row>
    <row r="236" spans="1:12" x14ac:dyDescent="0.3">
      <c r="A236" s="15" t="s">
        <v>849</v>
      </c>
      <c r="B236" s="54" t="s">
        <v>740</v>
      </c>
      <c r="C236" s="7" t="s">
        <v>741</v>
      </c>
      <c r="D236" s="15">
        <v>1</v>
      </c>
      <c r="E236" s="15"/>
      <c r="F236" s="27"/>
      <c r="G236" s="15"/>
      <c r="H236" s="15"/>
      <c r="I236" s="15"/>
      <c r="J236" s="15"/>
      <c r="K236" s="15"/>
      <c r="L236" s="15">
        <v>1</v>
      </c>
    </row>
    <row r="237" spans="1:12" x14ac:dyDescent="0.3">
      <c r="A237" s="15" t="s">
        <v>849</v>
      </c>
      <c r="B237" s="7" t="s">
        <v>749</v>
      </c>
      <c r="C237" s="7" t="s">
        <v>750</v>
      </c>
      <c r="D237" s="15">
        <v>3</v>
      </c>
      <c r="E237" s="15"/>
      <c r="F237" s="27"/>
      <c r="G237" s="15"/>
      <c r="H237" s="15"/>
      <c r="I237" s="15"/>
      <c r="J237" s="15"/>
      <c r="K237" s="15"/>
      <c r="L237" s="15">
        <v>3</v>
      </c>
    </row>
    <row r="238" spans="1:12" x14ac:dyDescent="0.3">
      <c r="A238" s="15" t="s">
        <v>849</v>
      </c>
      <c r="B238" s="54" t="s">
        <v>752</v>
      </c>
      <c r="C238" s="54" t="s">
        <v>753</v>
      </c>
      <c r="D238" s="1">
        <v>2</v>
      </c>
      <c r="E238" s="15"/>
      <c r="F238" s="27"/>
      <c r="G238" s="15"/>
      <c r="H238" s="15"/>
      <c r="I238" s="15"/>
      <c r="J238" s="15"/>
      <c r="K238" s="15"/>
      <c r="L238" s="15">
        <v>2</v>
      </c>
    </row>
    <row r="239" spans="1:12" x14ac:dyDescent="0.3">
      <c r="A239" s="15" t="s">
        <v>849</v>
      </c>
      <c r="B239" s="7" t="s">
        <v>755</v>
      </c>
      <c r="C239" s="7" t="s">
        <v>756</v>
      </c>
      <c r="D239" s="15">
        <v>2</v>
      </c>
      <c r="E239" s="15"/>
      <c r="F239" s="27"/>
      <c r="G239" s="15"/>
      <c r="H239" s="15"/>
      <c r="I239" s="15"/>
      <c r="J239" s="15"/>
      <c r="K239" s="15"/>
      <c r="L239" s="15">
        <v>2</v>
      </c>
    </row>
    <row r="240" spans="1:12" x14ac:dyDescent="0.3">
      <c r="A240" s="15" t="s">
        <v>849</v>
      </c>
      <c r="B240" s="7" t="s">
        <v>758</v>
      </c>
      <c r="C240" s="7" t="s">
        <v>759</v>
      </c>
      <c r="D240" s="15">
        <v>3</v>
      </c>
      <c r="E240" s="15"/>
      <c r="F240" s="27"/>
      <c r="G240" s="15"/>
      <c r="H240" s="15"/>
      <c r="I240" s="15"/>
      <c r="J240" s="15"/>
      <c r="K240" s="15"/>
      <c r="L240" s="15">
        <v>3</v>
      </c>
    </row>
    <row r="241" spans="1:12" x14ac:dyDescent="0.3">
      <c r="A241" s="15" t="s">
        <v>849</v>
      </c>
      <c r="B241" s="7" t="s">
        <v>760</v>
      </c>
      <c r="C241" s="7" t="s">
        <v>761</v>
      </c>
      <c r="D241" s="15">
        <v>3</v>
      </c>
      <c r="E241" s="15"/>
      <c r="F241" s="27"/>
      <c r="G241" s="15"/>
      <c r="H241" s="15"/>
      <c r="I241" s="15"/>
      <c r="J241" s="15"/>
      <c r="K241" s="15"/>
      <c r="L241" s="15">
        <v>3</v>
      </c>
    </row>
    <row r="242" spans="1:12" x14ac:dyDescent="0.3">
      <c r="A242" s="15" t="s">
        <v>849</v>
      </c>
      <c r="B242" s="7" t="s">
        <v>763</v>
      </c>
      <c r="C242" s="7" t="s">
        <v>764</v>
      </c>
      <c r="D242" s="15">
        <v>1</v>
      </c>
      <c r="E242" s="15"/>
      <c r="F242" s="27"/>
      <c r="G242" s="15"/>
      <c r="H242" s="15"/>
      <c r="I242" s="15"/>
      <c r="J242" s="15"/>
      <c r="K242" s="15"/>
      <c r="L242" s="15">
        <v>1</v>
      </c>
    </row>
    <row r="243" spans="1:12" x14ac:dyDescent="0.3">
      <c r="A243" s="15" t="s">
        <v>849</v>
      </c>
      <c r="B243" s="7" t="s">
        <v>766</v>
      </c>
      <c r="C243" s="7" t="s">
        <v>767</v>
      </c>
      <c r="D243" s="15">
        <v>3</v>
      </c>
      <c r="E243" s="15"/>
      <c r="F243" s="27"/>
      <c r="G243" s="15"/>
      <c r="H243" s="15"/>
      <c r="I243" s="15"/>
      <c r="J243" s="15"/>
      <c r="K243" s="15"/>
      <c r="L243" s="15">
        <v>3</v>
      </c>
    </row>
    <row r="244" spans="1:12" x14ac:dyDescent="0.3">
      <c r="A244" s="15" t="s">
        <v>849</v>
      </c>
      <c r="B244" s="7" t="s">
        <v>769</v>
      </c>
      <c r="C244" s="7" t="s">
        <v>770</v>
      </c>
      <c r="D244" s="15">
        <v>2</v>
      </c>
      <c r="E244" s="15"/>
      <c r="F244" s="27"/>
      <c r="G244" s="15"/>
      <c r="H244" s="15"/>
      <c r="I244" s="15"/>
      <c r="J244" s="15">
        <v>2</v>
      </c>
      <c r="K244" s="15"/>
      <c r="L244" s="15"/>
    </row>
    <row r="245" spans="1:12" x14ac:dyDescent="0.3">
      <c r="A245" s="15" t="s">
        <v>868</v>
      </c>
      <c r="B245" s="27">
        <v>19319874</v>
      </c>
      <c r="C245" s="7" t="s">
        <v>795</v>
      </c>
      <c r="D245" s="4">
        <v>3</v>
      </c>
      <c r="E245" s="15">
        <v>3</v>
      </c>
      <c r="F245" s="27"/>
      <c r="G245" s="7"/>
      <c r="H245" s="7"/>
      <c r="I245" s="7"/>
      <c r="J245" s="7"/>
      <c r="K245" s="7"/>
      <c r="L245" s="7"/>
    </row>
    <row r="246" spans="1:12" x14ac:dyDescent="0.3">
      <c r="A246" s="15" t="s">
        <v>868</v>
      </c>
      <c r="B246" s="27">
        <v>19319790</v>
      </c>
      <c r="C246" s="7" t="s">
        <v>797</v>
      </c>
      <c r="D246" s="4">
        <v>3</v>
      </c>
      <c r="E246" s="15">
        <v>3</v>
      </c>
      <c r="F246" s="27"/>
      <c r="G246" s="7"/>
      <c r="H246" s="7"/>
      <c r="I246" s="7"/>
      <c r="J246" s="7"/>
      <c r="K246" s="7"/>
      <c r="L246" s="7"/>
    </row>
    <row r="247" spans="1:12" x14ac:dyDescent="0.3">
      <c r="A247" s="15" t="s">
        <v>868</v>
      </c>
      <c r="B247" s="27">
        <v>82294850</v>
      </c>
      <c r="C247" s="7" t="s">
        <v>799</v>
      </c>
      <c r="D247" s="4">
        <v>1</v>
      </c>
      <c r="E247" s="15">
        <v>1</v>
      </c>
      <c r="F247" s="27"/>
      <c r="G247" s="7"/>
      <c r="H247" s="7"/>
      <c r="I247" s="7"/>
      <c r="J247" s="7"/>
      <c r="K247" s="7"/>
      <c r="L247" s="7"/>
    </row>
    <row r="248" spans="1:12" x14ac:dyDescent="0.3">
      <c r="A248" s="15" t="s">
        <v>884</v>
      </c>
      <c r="B248" s="15"/>
      <c r="C248" s="7" t="s">
        <v>61</v>
      </c>
      <c r="D248" s="15">
        <v>1</v>
      </c>
      <c r="E248" s="15">
        <v>1</v>
      </c>
      <c r="F248" s="27"/>
      <c r="G248" s="7"/>
      <c r="H248" s="7"/>
      <c r="I248" s="7"/>
      <c r="J248" s="7"/>
      <c r="K248" s="7"/>
      <c r="L248" s="7"/>
    </row>
    <row r="249" spans="1:12" x14ac:dyDescent="0.3">
      <c r="A249" s="15" t="s">
        <v>858</v>
      </c>
      <c r="B249" s="15"/>
      <c r="C249" s="7" t="s">
        <v>63</v>
      </c>
      <c r="D249" s="4">
        <v>1</v>
      </c>
      <c r="E249" s="15">
        <v>1</v>
      </c>
      <c r="F249" s="27"/>
      <c r="G249" s="7"/>
      <c r="H249" s="7"/>
      <c r="I249" s="7"/>
      <c r="J249" s="7"/>
      <c r="K249" s="7"/>
      <c r="L249" s="7"/>
    </row>
    <row r="250" spans="1:12" x14ac:dyDescent="0.3">
      <c r="A250" s="15" t="s">
        <v>884</v>
      </c>
      <c r="B250" s="15"/>
      <c r="C250" s="7" t="s">
        <v>65</v>
      </c>
      <c r="D250" s="4">
        <v>1</v>
      </c>
      <c r="E250" s="15">
        <v>1</v>
      </c>
      <c r="F250" s="27"/>
      <c r="G250" s="7"/>
      <c r="H250" s="7"/>
      <c r="I250" s="7"/>
      <c r="J250" s="7"/>
      <c r="K250" s="7"/>
      <c r="L250" s="7"/>
    </row>
    <row r="251" spans="1:12" x14ac:dyDescent="0.3">
      <c r="A251" s="15" t="s">
        <v>884</v>
      </c>
      <c r="B251" s="15"/>
      <c r="C251" s="7" t="s">
        <v>67</v>
      </c>
      <c r="D251" s="4">
        <v>1</v>
      </c>
      <c r="E251" s="15"/>
      <c r="F251" s="27"/>
      <c r="G251" s="15">
        <v>1</v>
      </c>
      <c r="H251" s="7"/>
      <c r="I251" s="7"/>
      <c r="J251" s="7"/>
      <c r="K251" s="7"/>
      <c r="L251" s="7"/>
    </row>
    <row r="252" spans="1:12" x14ac:dyDescent="0.3">
      <c r="A252" s="15" t="s">
        <v>884</v>
      </c>
      <c r="B252" s="15"/>
      <c r="C252" s="7" t="s">
        <v>69</v>
      </c>
      <c r="D252" s="4">
        <v>1</v>
      </c>
      <c r="E252" s="15"/>
      <c r="F252" s="27"/>
      <c r="G252" s="15">
        <v>1</v>
      </c>
      <c r="H252" s="7"/>
      <c r="I252" s="7"/>
      <c r="J252" s="7"/>
      <c r="K252" s="7"/>
      <c r="L252" s="7"/>
    </row>
    <row r="253" spans="1:12" x14ac:dyDescent="0.3">
      <c r="A253" s="15" t="s">
        <v>884</v>
      </c>
      <c r="B253" s="15"/>
      <c r="C253" s="7" t="s">
        <v>71</v>
      </c>
      <c r="D253" s="4">
        <v>1</v>
      </c>
      <c r="E253" s="15"/>
      <c r="F253" s="27"/>
      <c r="G253" s="15">
        <v>1</v>
      </c>
      <c r="H253" s="7"/>
      <c r="I253" s="7"/>
      <c r="J253" s="7"/>
      <c r="K253" s="7"/>
      <c r="L253" s="7"/>
    </row>
    <row r="254" spans="1:12" x14ac:dyDescent="0.3">
      <c r="A254" s="15" t="s">
        <v>884</v>
      </c>
      <c r="B254" s="15"/>
      <c r="C254" s="7" t="s">
        <v>73</v>
      </c>
      <c r="D254" s="4">
        <v>1</v>
      </c>
      <c r="E254" s="15"/>
      <c r="F254" s="27"/>
      <c r="G254" s="15">
        <v>1</v>
      </c>
      <c r="H254" s="7"/>
      <c r="I254" s="7"/>
      <c r="J254" s="7"/>
      <c r="K254" s="7"/>
      <c r="L254" s="7"/>
    </row>
    <row r="255" spans="1:12" x14ac:dyDescent="0.3">
      <c r="A255" s="15" t="s">
        <v>884</v>
      </c>
      <c r="B255" s="15"/>
      <c r="C255" s="7" t="s">
        <v>75</v>
      </c>
      <c r="D255" s="4">
        <v>1</v>
      </c>
      <c r="E255" s="15"/>
      <c r="F255" s="27"/>
      <c r="G255" s="15">
        <v>1</v>
      </c>
      <c r="H255" s="7"/>
      <c r="I255" s="7"/>
      <c r="J255" s="7"/>
      <c r="K255" s="7"/>
      <c r="L255" s="7"/>
    </row>
    <row r="256" spans="1:12" x14ac:dyDescent="0.3">
      <c r="A256" s="15" t="s">
        <v>884</v>
      </c>
      <c r="B256" s="15"/>
      <c r="C256" s="7" t="s">
        <v>77</v>
      </c>
      <c r="D256" s="4">
        <v>1</v>
      </c>
      <c r="E256" s="15"/>
      <c r="F256" s="27"/>
      <c r="G256" s="15">
        <v>1</v>
      </c>
      <c r="H256" s="7"/>
      <c r="I256" s="7"/>
      <c r="J256" s="7"/>
      <c r="K256" s="7"/>
      <c r="L256" s="7"/>
    </row>
    <row r="257" spans="1:12" x14ac:dyDescent="0.3">
      <c r="A257" s="15" t="s">
        <v>884</v>
      </c>
      <c r="B257" s="15"/>
      <c r="C257" s="7" t="s">
        <v>79</v>
      </c>
      <c r="D257" s="4">
        <v>1</v>
      </c>
      <c r="E257" s="15"/>
      <c r="F257" s="27"/>
      <c r="G257" s="15">
        <v>1</v>
      </c>
      <c r="H257" s="7"/>
      <c r="I257" s="7"/>
      <c r="J257" s="7"/>
      <c r="K257" s="7"/>
      <c r="L257" s="7"/>
    </row>
    <row r="258" spans="1:12" x14ac:dyDescent="0.3">
      <c r="A258" s="15" t="s">
        <v>884</v>
      </c>
      <c r="B258" s="15"/>
      <c r="C258" s="7" t="s">
        <v>55</v>
      </c>
      <c r="D258" s="4">
        <v>1</v>
      </c>
      <c r="E258" s="15"/>
      <c r="F258" s="27"/>
      <c r="G258" s="15">
        <v>1</v>
      </c>
      <c r="H258" s="7"/>
      <c r="I258" s="7"/>
      <c r="J258" s="7"/>
      <c r="K258" s="7"/>
      <c r="L258" s="7"/>
    </row>
    <row r="259" spans="1:12" x14ac:dyDescent="0.3">
      <c r="A259" s="15" t="s">
        <v>884</v>
      </c>
      <c r="B259" s="15"/>
      <c r="C259" s="7" t="s">
        <v>40</v>
      </c>
      <c r="D259" s="4">
        <v>2</v>
      </c>
      <c r="E259" s="15"/>
      <c r="F259" s="27"/>
      <c r="G259" s="7"/>
      <c r="H259" s="7"/>
      <c r="I259" s="7"/>
      <c r="J259" s="7"/>
      <c r="K259" s="7"/>
      <c r="L259" s="7"/>
    </row>
    <row r="260" spans="1:12" x14ac:dyDescent="0.3">
      <c r="A260" s="15" t="s">
        <v>884</v>
      </c>
      <c r="B260" s="15"/>
      <c r="C260" s="16" t="s">
        <v>87</v>
      </c>
      <c r="D260" s="4">
        <v>1</v>
      </c>
      <c r="E260" s="15"/>
      <c r="F260" s="27"/>
      <c r="G260" s="7"/>
      <c r="H260" s="7"/>
      <c r="I260" s="7"/>
      <c r="J260" s="7"/>
      <c r="K260" s="4">
        <v>1</v>
      </c>
      <c r="L260" s="4">
        <v>1</v>
      </c>
    </row>
    <row r="261" spans="1:12" x14ac:dyDescent="0.3">
      <c r="A261" s="15" t="s">
        <v>884</v>
      </c>
      <c r="B261" s="15"/>
      <c r="C261" s="16" t="s">
        <v>89</v>
      </c>
      <c r="D261" s="4">
        <v>2</v>
      </c>
      <c r="E261" s="15"/>
      <c r="F261" s="27"/>
      <c r="G261" s="7"/>
      <c r="H261" s="7"/>
      <c r="I261" s="7"/>
      <c r="J261" s="7"/>
      <c r="K261" s="4">
        <v>2</v>
      </c>
      <c r="L261" s="4">
        <v>2</v>
      </c>
    </row>
    <row r="262" spans="1:12" x14ac:dyDescent="0.3">
      <c r="A262" s="15" t="s">
        <v>884</v>
      </c>
      <c r="B262" s="15"/>
      <c r="C262" s="16" t="s">
        <v>91</v>
      </c>
      <c r="D262" s="4">
        <v>1</v>
      </c>
      <c r="E262" s="15"/>
      <c r="F262" s="27"/>
      <c r="G262" s="7"/>
      <c r="H262" s="7"/>
      <c r="I262" s="7"/>
      <c r="J262" s="7"/>
      <c r="K262" s="4">
        <v>1</v>
      </c>
      <c r="L262" s="4">
        <v>1</v>
      </c>
    </row>
    <row r="263" spans="1:12" x14ac:dyDescent="0.3">
      <c r="A263" s="15" t="s">
        <v>884</v>
      </c>
      <c r="B263" s="15"/>
      <c r="C263" s="16" t="s">
        <v>93</v>
      </c>
      <c r="D263" s="4">
        <v>1</v>
      </c>
      <c r="E263" s="15"/>
      <c r="F263" s="27"/>
      <c r="G263" s="7"/>
      <c r="H263" s="7"/>
      <c r="I263" s="7"/>
      <c r="J263" s="7"/>
      <c r="K263" s="4">
        <v>1</v>
      </c>
      <c r="L263" s="4">
        <v>1</v>
      </c>
    </row>
    <row r="264" spans="1:12" x14ac:dyDescent="0.3">
      <c r="A264" s="15" t="s">
        <v>884</v>
      </c>
      <c r="B264" s="15"/>
      <c r="C264" s="16" t="s">
        <v>94</v>
      </c>
      <c r="D264" s="4">
        <v>1</v>
      </c>
      <c r="E264" s="15"/>
      <c r="F264" s="27"/>
      <c r="G264" s="7"/>
      <c r="H264" s="7"/>
      <c r="I264" s="7"/>
      <c r="J264" s="7"/>
      <c r="K264" s="4">
        <v>1</v>
      </c>
      <c r="L264" s="4">
        <v>1</v>
      </c>
    </row>
    <row r="265" spans="1:12" x14ac:dyDescent="0.3">
      <c r="A265" s="15" t="s">
        <v>884</v>
      </c>
      <c r="B265" s="15"/>
      <c r="C265" s="16" t="s">
        <v>100</v>
      </c>
      <c r="D265" s="4">
        <v>1</v>
      </c>
      <c r="E265" s="15"/>
      <c r="F265" s="27"/>
      <c r="G265" s="7"/>
      <c r="H265" s="7"/>
      <c r="I265" s="7"/>
      <c r="J265" s="7"/>
      <c r="K265" s="4">
        <v>1</v>
      </c>
      <c r="L265" s="4">
        <v>1</v>
      </c>
    </row>
    <row r="266" spans="1:12" x14ac:dyDescent="0.3">
      <c r="A266" s="15" t="s">
        <v>884</v>
      </c>
      <c r="B266" s="15"/>
      <c r="C266" s="16" t="s">
        <v>102</v>
      </c>
      <c r="D266" s="4">
        <v>1</v>
      </c>
      <c r="E266" s="15"/>
      <c r="F266" s="27"/>
      <c r="G266" s="7"/>
      <c r="H266" s="7"/>
      <c r="I266" s="7"/>
      <c r="J266" s="7"/>
      <c r="K266" s="4">
        <v>1</v>
      </c>
      <c r="L266" s="4">
        <v>1</v>
      </c>
    </row>
    <row r="267" spans="1:12" x14ac:dyDescent="0.3">
      <c r="A267" s="15" t="s">
        <v>858</v>
      </c>
      <c r="B267" s="15"/>
      <c r="C267" s="16" t="s">
        <v>104</v>
      </c>
      <c r="D267" s="4">
        <v>1</v>
      </c>
      <c r="E267" s="15"/>
      <c r="F267" s="27"/>
      <c r="G267" s="7"/>
      <c r="H267" s="7"/>
      <c r="I267" s="7"/>
      <c r="J267" s="7"/>
      <c r="K267" s="4">
        <v>1</v>
      </c>
      <c r="L267" s="4">
        <v>1</v>
      </c>
    </row>
    <row r="268" spans="1:12" x14ac:dyDescent="0.3">
      <c r="A268" s="15" t="s">
        <v>858</v>
      </c>
      <c r="B268" s="15"/>
      <c r="C268" s="16" t="s">
        <v>104</v>
      </c>
      <c r="D268" s="4">
        <v>1</v>
      </c>
      <c r="E268" s="15"/>
      <c r="F268" s="27"/>
      <c r="G268" s="7"/>
      <c r="H268" s="7"/>
      <c r="I268" s="7"/>
      <c r="J268" s="7"/>
      <c r="K268" s="4">
        <v>1</v>
      </c>
      <c r="L268" s="4">
        <v>1</v>
      </c>
    </row>
    <row r="269" spans="1:12" x14ac:dyDescent="0.3">
      <c r="A269" s="15" t="s">
        <v>858</v>
      </c>
      <c r="B269" s="15"/>
      <c r="C269" s="16" t="s">
        <v>106</v>
      </c>
      <c r="D269" s="4">
        <v>1</v>
      </c>
      <c r="E269" s="15"/>
      <c r="F269" s="27"/>
      <c r="G269" s="7"/>
      <c r="H269" s="7"/>
      <c r="I269" s="7"/>
      <c r="J269" s="7"/>
      <c r="K269" s="4">
        <v>1</v>
      </c>
      <c r="L269" s="4">
        <v>1</v>
      </c>
    </row>
    <row r="270" spans="1:12" x14ac:dyDescent="0.3">
      <c r="A270" s="15" t="s">
        <v>858</v>
      </c>
      <c r="B270" s="15"/>
      <c r="C270" s="16" t="s">
        <v>108</v>
      </c>
      <c r="D270" s="4">
        <v>1</v>
      </c>
      <c r="E270" s="15"/>
      <c r="F270" s="27"/>
      <c r="G270" s="7"/>
      <c r="H270" s="7"/>
      <c r="I270" s="7"/>
      <c r="J270" s="7"/>
      <c r="K270" s="4">
        <v>1</v>
      </c>
      <c r="L270" s="4">
        <v>1</v>
      </c>
    </row>
    <row r="271" spans="1:12" x14ac:dyDescent="0.3">
      <c r="A271" s="15" t="s">
        <v>858</v>
      </c>
      <c r="B271" s="15"/>
      <c r="C271" s="16" t="s">
        <v>110</v>
      </c>
      <c r="D271" s="4">
        <v>1</v>
      </c>
      <c r="E271" s="15"/>
      <c r="F271" s="27"/>
      <c r="G271" s="7"/>
      <c r="H271" s="7"/>
      <c r="I271" s="7"/>
      <c r="J271" s="7"/>
      <c r="K271" s="4">
        <v>1</v>
      </c>
      <c r="L271" s="4">
        <v>1</v>
      </c>
    </row>
    <row r="272" spans="1:12" x14ac:dyDescent="0.3">
      <c r="A272" s="15" t="s">
        <v>858</v>
      </c>
      <c r="B272" s="15"/>
      <c r="C272" s="16" t="s">
        <v>112</v>
      </c>
      <c r="D272" s="4">
        <v>1</v>
      </c>
      <c r="E272" s="15"/>
      <c r="F272" s="27"/>
      <c r="G272" s="7"/>
      <c r="H272" s="7"/>
      <c r="I272" s="7"/>
      <c r="J272" s="7"/>
      <c r="K272" s="4">
        <v>1</v>
      </c>
      <c r="L272" s="4">
        <v>1</v>
      </c>
    </row>
    <row r="273" spans="1:12" x14ac:dyDescent="0.3">
      <c r="A273" s="15" t="s">
        <v>858</v>
      </c>
      <c r="B273" s="15"/>
      <c r="C273" s="16" t="s">
        <v>114</v>
      </c>
      <c r="D273" s="4">
        <v>1</v>
      </c>
      <c r="E273" s="15"/>
      <c r="F273" s="27"/>
      <c r="G273" s="7"/>
      <c r="H273" s="7"/>
      <c r="I273" s="7"/>
      <c r="J273" s="7"/>
      <c r="K273" s="4">
        <v>1</v>
      </c>
      <c r="L273" s="4">
        <v>1</v>
      </c>
    </row>
    <row r="274" spans="1:12" x14ac:dyDescent="0.3">
      <c r="A274" s="15" t="s">
        <v>885</v>
      </c>
      <c r="B274" s="15"/>
      <c r="C274" s="7" t="s">
        <v>886</v>
      </c>
      <c r="D274" s="4">
        <v>1</v>
      </c>
      <c r="E274" s="15"/>
      <c r="F274" s="27"/>
      <c r="G274" s="7"/>
      <c r="H274" s="7"/>
      <c r="I274" s="7"/>
      <c r="J274" s="7"/>
      <c r="K274" s="4">
        <v>1</v>
      </c>
      <c r="L274" s="4">
        <v>1</v>
      </c>
    </row>
    <row r="275" spans="1:12" x14ac:dyDescent="0.3">
      <c r="A275" s="15" t="s">
        <v>887</v>
      </c>
      <c r="B275" s="15" t="s">
        <v>888</v>
      </c>
      <c r="C275" s="7" t="s">
        <v>827</v>
      </c>
      <c r="D275" s="4">
        <v>3</v>
      </c>
      <c r="E275" s="15">
        <v>1</v>
      </c>
      <c r="F275" s="27"/>
      <c r="G275" s="7"/>
      <c r="H275" s="4">
        <v>1</v>
      </c>
      <c r="I275" s="7"/>
      <c r="J275" s="7"/>
      <c r="K275" s="4"/>
      <c r="L275" s="4">
        <v>1</v>
      </c>
    </row>
    <row r="276" spans="1:12" x14ac:dyDescent="0.3">
      <c r="A276" s="15" t="s">
        <v>887</v>
      </c>
      <c r="B276" s="15" t="s">
        <v>889</v>
      </c>
      <c r="C276" s="7" t="s">
        <v>828</v>
      </c>
      <c r="D276" s="4">
        <v>2</v>
      </c>
      <c r="E276" s="15">
        <v>1</v>
      </c>
      <c r="F276" s="27"/>
      <c r="G276" s="7"/>
      <c r="H276" s="4"/>
      <c r="I276" s="7"/>
      <c r="J276" s="7"/>
      <c r="K276" s="4"/>
      <c r="L276" s="4">
        <v>1</v>
      </c>
    </row>
    <row r="277" spans="1:12" x14ac:dyDescent="0.3">
      <c r="A277" s="15" t="s">
        <v>887</v>
      </c>
      <c r="B277" s="15" t="s">
        <v>890</v>
      </c>
      <c r="C277" s="7" t="s">
        <v>829</v>
      </c>
      <c r="D277" s="4">
        <v>2</v>
      </c>
      <c r="E277" s="15"/>
      <c r="F277" s="27"/>
      <c r="G277" s="7"/>
      <c r="H277" s="4">
        <v>2</v>
      </c>
      <c r="I277" s="7"/>
      <c r="J277" s="7"/>
      <c r="K277" s="4"/>
      <c r="L277" s="4"/>
    </row>
    <row r="278" spans="1:12" x14ac:dyDescent="0.3">
      <c r="A278" s="15" t="s">
        <v>887</v>
      </c>
      <c r="B278" s="15" t="s">
        <v>891</v>
      </c>
      <c r="C278" s="7" t="s">
        <v>830</v>
      </c>
      <c r="D278" s="4">
        <v>4</v>
      </c>
      <c r="E278" s="15">
        <v>2</v>
      </c>
      <c r="F278" s="27"/>
      <c r="G278" s="7"/>
      <c r="H278" s="4">
        <v>1</v>
      </c>
      <c r="I278" s="7"/>
      <c r="J278" s="7"/>
      <c r="K278" s="4"/>
      <c r="L278" s="4">
        <v>1</v>
      </c>
    </row>
    <row r="279" spans="1:12" x14ac:dyDescent="0.3">
      <c r="A279" s="15" t="s">
        <v>887</v>
      </c>
      <c r="B279" s="15" t="s">
        <v>892</v>
      </c>
      <c r="C279" s="7" t="s">
        <v>831</v>
      </c>
      <c r="D279" s="4">
        <v>3</v>
      </c>
      <c r="E279" s="15">
        <v>2</v>
      </c>
      <c r="F279" s="27"/>
      <c r="G279" s="7"/>
      <c r="H279" s="4"/>
      <c r="I279" s="7"/>
      <c r="J279" s="7"/>
      <c r="K279" s="4"/>
      <c r="L279" s="4">
        <v>1</v>
      </c>
    </row>
    <row r="280" spans="1:12" x14ac:dyDescent="0.3">
      <c r="A280" s="15" t="s">
        <v>858</v>
      </c>
      <c r="B280" s="15"/>
      <c r="C280" s="16" t="s">
        <v>116</v>
      </c>
      <c r="D280" s="4">
        <v>4</v>
      </c>
      <c r="E280" s="15">
        <v>2</v>
      </c>
      <c r="F280" s="27"/>
      <c r="G280" s="7"/>
      <c r="H280" s="4">
        <v>1</v>
      </c>
      <c r="I280" s="7"/>
      <c r="J280" s="7"/>
      <c r="K280" s="7"/>
      <c r="L280" s="15">
        <v>1</v>
      </c>
    </row>
    <row r="281" spans="1:12" x14ac:dyDescent="0.3">
      <c r="A281" s="15" t="s">
        <v>858</v>
      </c>
      <c r="B281" s="15"/>
      <c r="C281" s="16" t="s">
        <v>118</v>
      </c>
      <c r="D281" s="4">
        <v>1</v>
      </c>
      <c r="E281" s="15"/>
      <c r="F281" s="27"/>
      <c r="G281" s="7"/>
      <c r="H281" s="4">
        <v>1</v>
      </c>
      <c r="I281" s="7"/>
      <c r="J281" s="7"/>
      <c r="K281" s="7"/>
      <c r="L281" s="7"/>
    </row>
    <row r="282" spans="1:12" x14ac:dyDescent="0.3">
      <c r="A282" s="15" t="s">
        <v>858</v>
      </c>
      <c r="B282" s="15"/>
      <c r="C282" s="16" t="s">
        <v>120</v>
      </c>
      <c r="D282" s="4">
        <v>1</v>
      </c>
      <c r="E282" s="15"/>
      <c r="F282" s="27"/>
      <c r="G282" s="7"/>
      <c r="H282" s="4">
        <v>1</v>
      </c>
      <c r="I282" s="7"/>
      <c r="J282" s="7"/>
      <c r="K282" s="7"/>
      <c r="L282" s="7"/>
    </row>
    <row r="283" spans="1:12" x14ac:dyDescent="0.3">
      <c r="A283" s="15" t="s">
        <v>858</v>
      </c>
      <c r="B283" s="15"/>
      <c r="C283" s="16" t="s">
        <v>122</v>
      </c>
      <c r="D283" s="4">
        <v>3</v>
      </c>
      <c r="E283" s="15"/>
      <c r="F283" s="27"/>
      <c r="G283" s="7"/>
      <c r="H283" s="4">
        <v>3</v>
      </c>
      <c r="I283" s="7"/>
      <c r="J283" s="7"/>
      <c r="K283" s="7"/>
      <c r="L283" s="7"/>
    </row>
    <row r="284" spans="1:12" x14ac:dyDescent="0.3">
      <c r="A284" s="15" t="s">
        <v>858</v>
      </c>
      <c r="B284" s="15"/>
      <c r="C284" s="16" t="s">
        <v>124</v>
      </c>
      <c r="D284" s="4">
        <v>2</v>
      </c>
      <c r="E284" s="15"/>
      <c r="F284" s="27"/>
      <c r="G284" s="7"/>
      <c r="H284" s="4">
        <v>2</v>
      </c>
      <c r="I284" s="7"/>
      <c r="J284" s="7"/>
      <c r="K284" s="7"/>
      <c r="L284" s="7"/>
    </row>
    <row r="285" spans="1:12" x14ac:dyDescent="0.3">
      <c r="A285" s="15" t="s">
        <v>858</v>
      </c>
      <c r="B285" s="15"/>
      <c r="C285" s="16" t="s">
        <v>126</v>
      </c>
      <c r="D285" s="4">
        <v>1</v>
      </c>
      <c r="E285" s="15"/>
      <c r="F285" s="27"/>
      <c r="G285" s="7"/>
      <c r="H285" s="4">
        <v>1</v>
      </c>
      <c r="I285" s="7"/>
      <c r="J285" s="7"/>
      <c r="K285" s="7"/>
      <c r="L285" s="7"/>
    </row>
    <row r="286" spans="1:12" x14ac:dyDescent="0.3">
      <c r="A286" s="15" t="s">
        <v>858</v>
      </c>
      <c r="B286" s="15"/>
      <c r="C286" s="16" t="s">
        <v>128</v>
      </c>
      <c r="D286" s="4">
        <v>1</v>
      </c>
      <c r="E286" s="15"/>
      <c r="F286" s="27"/>
      <c r="G286" s="7"/>
      <c r="H286" s="4">
        <v>1</v>
      </c>
      <c r="I286" s="7"/>
      <c r="J286" s="7"/>
      <c r="K286" s="7"/>
      <c r="L286" s="7"/>
    </row>
    <row r="287" spans="1:12" x14ac:dyDescent="0.3">
      <c r="A287" s="15" t="s">
        <v>858</v>
      </c>
      <c r="B287" s="4"/>
      <c r="C287" s="16" t="s">
        <v>96</v>
      </c>
      <c r="D287" s="51">
        <v>1</v>
      </c>
      <c r="E287" s="15"/>
      <c r="F287" s="27"/>
      <c r="G287" s="7"/>
      <c r="H287" s="7"/>
      <c r="I287" s="7"/>
      <c r="J287" s="7"/>
      <c r="K287" s="4">
        <v>1</v>
      </c>
      <c r="L287" s="4">
        <v>1</v>
      </c>
    </row>
    <row r="288" spans="1:12" x14ac:dyDescent="0.3">
      <c r="A288" s="15" t="s">
        <v>858</v>
      </c>
      <c r="B288" s="4"/>
      <c r="C288" s="16" t="s">
        <v>98</v>
      </c>
      <c r="D288" s="51">
        <v>2</v>
      </c>
      <c r="E288" s="15"/>
      <c r="F288" s="27"/>
      <c r="G288" s="7"/>
      <c r="H288" s="7"/>
      <c r="I288" s="7"/>
      <c r="J288" s="7"/>
      <c r="K288" s="4">
        <v>2</v>
      </c>
      <c r="L288" s="4">
        <v>2</v>
      </c>
    </row>
    <row r="289" spans="1:12" x14ac:dyDescent="0.3">
      <c r="A289" s="15" t="s">
        <v>858</v>
      </c>
      <c r="B289" s="4"/>
      <c r="C289" s="16" t="s">
        <v>130</v>
      </c>
      <c r="D289" s="51">
        <v>1</v>
      </c>
      <c r="E289" s="36"/>
      <c r="F289" s="57"/>
      <c r="G289" s="7"/>
      <c r="H289" s="7"/>
      <c r="I289" s="7"/>
      <c r="J289" s="7"/>
      <c r="K289" s="4">
        <v>1</v>
      </c>
      <c r="L289" s="4">
        <v>1</v>
      </c>
    </row>
    <row r="290" spans="1:12" x14ac:dyDescent="0.3">
      <c r="A290" s="15" t="s">
        <v>858</v>
      </c>
      <c r="B290" s="4"/>
      <c r="C290" s="16" t="s">
        <v>132</v>
      </c>
      <c r="D290" s="51">
        <v>1</v>
      </c>
      <c r="E290" s="36"/>
      <c r="F290" s="57"/>
      <c r="G290" s="7"/>
      <c r="H290" s="7"/>
      <c r="I290" s="7"/>
      <c r="J290" s="7"/>
      <c r="K290" s="4">
        <v>1</v>
      </c>
      <c r="L290" s="4">
        <v>1</v>
      </c>
    </row>
    <row r="291" spans="1:12" x14ac:dyDescent="0.3">
      <c r="A291" s="15" t="s">
        <v>858</v>
      </c>
      <c r="B291" s="4"/>
      <c r="C291" s="16" t="s">
        <v>134</v>
      </c>
      <c r="D291" s="51">
        <v>1</v>
      </c>
      <c r="E291" s="36"/>
      <c r="F291" s="57"/>
      <c r="G291" s="7"/>
      <c r="H291" s="7"/>
      <c r="I291" s="7"/>
      <c r="J291" s="7"/>
      <c r="K291" s="4">
        <v>1</v>
      </c>
      <c r="L291" s="4">
        <v>1</v>
      </c>
    </row>
    <row r="292" spans="1:12" x14ac:dyDescent="0.3">
      <c r="A292" s="15" t="s">
        <v>858</v>
      </c>
      <c r="B292" s="4"/>
      <c r="C292" s="16" t="s">
        <v>136</v>
      </c>
      <c r="D292" s="51">
        <v>1</v>
      </c>
      <c r="E292" s="36"/>
      <c r="F292" s="57"/>
      <c r="G292" s="7"/>
      <c r="H292" s="7"/>
      <c r="I292" s="7"/>
      <c r="J292" s="7"/>
      <c r="K292" s="4">
        <v>1</v>
      </c>
      <c r="L292" s="4">
        <v>1</v>
      </c>
    </row>
    <row r="293" spans="1:12" x14ac:dyDescent="0.3">
      <c r="A293" s="15" t="s">
        <v>858</v>
      </c>
      <c r="B293" s="4"/>
      <c r="C293" s="16" t="s">
        <v>138</v>
      </c>
      <c r="D293" s="51">
        <v>1</v>
      </c>
      <c r="E293" s="36"/>
      <c r="F293" s="57"/>
      <c r="G293" s="7"/>
      <c r="H293" s="7"/>
      <c r="I293" s="7"/>
      <c r="J293" s="7"/>
      <c r="K293" s="4">
        <v>1</v>
      </c>
      <c r="L293" s="4"/>
    </row>
    <row r="294" spans="1:12" x14ac:dyDescent="0.3">
      <c r="A294" s="15" t="s">
        <v>858</v>
      </c>
      <c r="B294" s="4"/>
      <c r="C294" s="16" t="s">
        <v>140</v>
      </c>
      <c r="D294" s="51">
        <v>1</v>
      </c>
      <c r="E294" s="36"/>
      <c r="F294" s="57"/>
      <c r="G294" s="7"/>
      <c r="H294" s="7"/>
      <c r="I294" s="7"/>
      <c r="J294" s="7"/>
      <c r="K294" s="4">
        <v>1</v>
      </c>
      <c r="L294" s="4"/>
    </row>
    <row r="295" spans="1:12" x14ac:dyDescent="0.3">
      <c r="A295" s="15" t="s">
        <v>858</v>
      </c>
      <c r="B295" s="4"/>
      <c r="C295" s="16" t="s">
        <v>142</v>
      </c>
      <c r="D295" s="51">
        <v>1</v>
      </c>
      <c r="E295" s="36"/>
      <c r="F295" s="57"/>
      <c r="G295" s="7"/>
      <c r="H295" s="7"/>
      <c r="I295" s="7"/>
      <c r="J295" s="7"/>
      <c r="K295" s="4">
        <v>1</v>
      </c>
      <c r="L295" s="4"/>
    </row>
    <row r="296" spans="1:12" x14ac:dyDescent="0.3">
      <c r="A296" s="15" t="s">
        <v>858</v>
      </c>
      <c r="B296" s="4"/>
      <c r="C296" s="16" t="s">
        <v>144</v>
      </c>
      <c r="D296" s="51">
        <v>1</v>
      </c>
      <c r="E296" s="36"/>
      <c r="F296" s="57"/>
      <c r="G296" s="7"/>
      <c r="H296" s="7"/>
      <c r="I296" s="7"/>
      <c r="J296" s="7"/>
      <c r="K296" s="4">
        <v>1</v>
      </c>
      <c r="L296" s="4"/>
    </row>
    <row r="297" spans="1:12" x14ac:dyDescent="0.3">
      <c r="A297" s="15" t="s">
        <v>858</v>
      </c>
      <c r="B297" s="4"/>
      <c r="C297" s="16" t="s">
        <v>146</v>
      </c>
      <c r="D297" s="51">
        <v>1</v>
      </c>
      <c r="E297" s="36"/>
      <c r="F297" s="57"/>
      <c r="G297" s="7"/>
      <c r="H297" s="7"/>
      <c r="I297" s="7"/>
      <c r="J297" s="7"/>
      <c r="K297" s="4">
        <v>1</v>
      </c>
      <c r="L297" s="4"/>
    </row>
    <row r="298" spans="1:12" x14ac:dyDescent="0.3">
      <c r="A298" s="15" t="s">
        <v>858</v>
      </c>
      <c r="B298" s="4"/>
      <c r="C298" s="16" t="s">
        <v>148</v>
      </c>
      <c r="D298" s="51">
        <v>1</v>
      </c>
      <c r="E298" s="36"/>
      <c r="F298" s="57"/>
      <c r="G298" s="7"/>
      <c r="H298" s="7"/>
      <c r="I298" s="7"/>
      <c r="J298" s="7"/>
      <c r="K298" s="4">
        <v>1</v>
      </c>
      <c r="L298" s="4"/>
    </row>
    <row r="299" spans="1:12" x14ac:dyDescent="0.3">
      <c r="A299" s="15" t="s">
        <v>858</v>
      </c>
      <c r="B299" s="4"/>
      <c r="C299" s="16" t="s">
        <v>150</v>
      </c>
      <c r="D299" s="51">
        <v>1</v>
      </c>
      <c r="E299" s="36"/>
      <c r="F299" s="57"/>
      <c r="G299" s="7"/>
      <c r="H299" s="7"/>
      <c r="I299" s="7"/>
      <c r="J299" s="7"/>
      <c r="K299" s="4">
        <v>1</v>
      </c>
      <c r="L299" s="4"/>
    </row>
    <row r="300" spans="1:12" x14ac:dyDescent="0.3">
      <c r="A300" s="15" t="s">
        <v>858</v>
      </c>
      <c r="B300" s="4"/>
      <c r="C300" s="16" t="s">
        <v>152</v>
      </c>
      <c r="D300" s="51">
        <v>1</v>
      </c>
      <c r="E300" s="36"/>
      <c r="F300" s="57"/>
      <c r="G300" s="7"/>
      <c r="H300" s="7"/>
      <c r="I300" s="7"/>
      <c r="J300" s="7"/>
      <c r="K300" s="4">
        <v>1</v>
      </c>
      <c r="L300" s="4"/>
    </row>
    <row r="301" spans="1:12" x14ac:dyDescent="0.3">
      <c r="A301" s="15" t="s">
        <v>858</v>
      </c>
      <c r="B301" s="15"/>
      <c r="C301" s="16" t="s">
        <v>154</v>
      </c>
      <c r="D301" s="4">
        <v>1</v>
      </c>
      <c r="E301" s="15"/>
      <c r="F301" s="27"/>
      <c r="G301" s="7"/>
      <c r="H301" s="7"/>
      <c r="I301" s="7"/>
      <c r="J301" s="7"/>
      <c r="K301" s="4">
        <v>1</v>
      </c>
      <c r="L301" s="7"/>
    </row>
    <row r="302" spans="1:12" x14ac:dyDescent="0.3">
      <c r="A302" s="15" t="s">
        <v>858</v>
      </c>
      <c r="B302" s="15"/>
      <c r="C302" s="16" t="s">
        <v>156</v>
      </c>
      <c r="D302" s="4">
        <v>1</v>
      </c>
      <c r="E302" s="15"/>
      <c r="F302" s="27"/>
      <c r="G302" s="7"/>
      <c r="H302" s="7"/>
      <c r="I302" s="7"/>
      <c r="J302" s="7"/>
      <c r="K302" s="4">
        <v>1</v>
      </c>
      <c r="L302" s="7"/>
    </row>
    <row r="303" spans="1:12" x14ac:dyDescent="0.3">
      <c r="A303" s="15" t="s">
        <v>858</v>
      </c>
      <c r="B303" s="15"/>
      <c r="C303" s="16" t="s">
        <v>158</v>
      </c>
      <c r="D303" s="4">
        <v>1</v>
      </c>
      <c r="E303" s="15"/>
      <c r="F303" s="27"/>
      <c r="G303" s="7"/>
      <c r="H303" s="7"/>
      <c r="I303" s="7"/>
      <c r="J303" s="7"/>
      <c r="K303" s="4">
        <v>1</v>
      </c>
      <c r="L303" s="7"/>
    </row>
    <row r="304" spans="1:12" x14ac:dyDescent="0.3">
      <c r="A304" s="15" t="s">
        <v>858</v>
      </c>
      <c r="B304" s="4"/>
      <c r="C304" s="16" t="s">
        <v>160</v>
      </c>
      <c r="D304" s="51">
        <v>1</v>
      </c>
      <c r="E304" s="51">
        <v>1</v>
      </c>
      <c r="F304" s="57"/>
      <c r="G304" s="7"/>
      <c r="H304" s="7"/>
      <c r="I304" s="7"/>
      <c r="J304" s="7"/>
      <c r="K304" s="4"/>
      <c r="L304" s="4"/>
    </row>
    <row r="305" spans="1:12" x14ac:dyDescent="0.3">
      <c r="A305" s="15" t="s">
        <v>858</v>
      </c>
      <c r="B305" s="4"/>
      <c r="C305" s="16" t="s">
        <v>162</v>
      </c>
      <c r="D305" s="51">
        <v>2</v>
      </c>
      <c r="E305" s="51">
        <v>2</v>
      </c>
      <c r="F305" s="58"/>
      <c r="G305" s="7"/>
      <c r="H305" s="7"/>
      <c r="I305" s="7"/>
      <c r="J305" s="7"/>
      <c r="K305" s="4"/>
      <c r="L305" s="4"/>
    </row>
    <row r="306" spans="1:12" x14ac:dyDescent="0.3">
      <c r="A306" s="15" t="s">
        <v>858</v>
      </c>
      <c r="B306" s="4"/>
      <c r="C306" s="16" t="s">
        <v>164</v>
      </c>
      <c r="D306" s="51">
        <v>2</v>
      </c>
      <c r="E306" s="51">
        <v>2</v>
      </c>
      <c r="F306" s="58"/>
      <c r="G306" s="7"/>
      <c r="H306" s="7"/>
      <c r="I306" s="7"/>
      <c r="J306" s="7"/>
      <c r="K306" s="4"/>
      <c r="L306" s="4"/>
    </row>
    <row r="307" spans="1:12" x14ac:dyDescent="0.3">
      <c r="A307" s="15" t="s">
        <v>858</v>
      </c>
      <c r="B307" s="4"/>
      <c r="C307" s="16" t="s">
        <v>166</v>
      </c>
      <c r="D307" s="51">
        <v>1</v>
      </c>
      <c r="E307" s="51">
        <v>1</v>
      </c>
      <c r="F307" s="58"/>
      <c r="G307" s="7"/>
      <c r="H307" s="7"/>
      <c r="I307" s="7"/>
      <c r="J307" s="7"/>
      <c r="K307" s="4"/>
      <c r="L307" s="4"/>
    </row>
    <row r="308" spans="1:12" x14ac:dyDescent="0.3">
      <c r="A308" s="15" t="s">
        <v>858</v>
      </c>
      <c r="B308" s="4"/>
      <c r="C308" s="16" t="s">
        <v>168</v>
      </c>
      <c r="D308" s="51">
        <v>6</v>
      </c>
      <c r="E308" s="51">
        <v>6</v>
      </c>
      <c r="F308" s="58"/>
      <c r="G308" s="7"/>
      <c r="H308" s="7"/>
      <c r="I308" s="7"/>
      <c r="J308" s="7"/>
      <c r="K308" s="4"/>
      <c r="L308" s="4"/>
    </row>
    <row r="309" spans="1:12" x14ac:dyDescent="0.3">
      <c r="A309" s="15" t="s">
        <v>858</v>
      </c>
      <c r="B309" s="4"/>
      <c r="C309" s="16" t="s">
        <v>170</v>
      </c>
      <c r="D309" s="51">
        <v>1</v>
      </c>
      <c r="E309" s="51">
        <v>1</v>
      </c>
      <c r="F309" s="58"/>
      <c r="G309" s="7"/>
      <c r="H309" s="7"/>
      <c r="I309" s="7"/>
      <c r="J309" s="7"/>
      <c r="K309" s="4"/>
      <c r="L309" s="4"/>
    </row>
    <row r="310" spans="1:12" x14ac:dyDescent="0.3">
      <c r="A310" s="15" t="s">
        <v>858</v>
      </c>
      <c r="B310" s="4"/>
      <c r="C310" s="16" t="s">
        <v>172</v>
      </c>
      <c r="D310" s="51">
        <v>1</v>
      </c>
      <c r="E310" s="51">
        <v>1</v>
      </c>
      <c r="F310" s="58"/>
      <c r="G310" s="7"/>
      <c r="H310" s="7"/>
      <c r="I310" s="7"/>
      <c r="J310" s="7"/>
      <c r="K310" s="4"/>
      <c r="L310" s="4"/>
    </row>
    <row r="311" spans="1:12" x14ac:dyDescent="0.3">
      <c r="A311" s="15" t="s">
        <v>858</v>
      </c>
      <c r="B311" s="4"/>
      <c r="C311" s="16" t="s">
        <v>174</v>
      </c>
      <c r="D311" s="51">
        <v>2</v>
      </c>
      <c r="E311" s="51">
        <v>2</v>
      </c>
      <c r="F311" s="58"/>
      <c r="G311" s="7"/>
      <c r="H311" s="7"/>
      <c r="I311" s="7"/>
      <c r="J311" s="7"/>
      <c r="K311" s="4"/>
      <c r="L311" s="4"/>
    </row>
    <row r="312" spans="1:12" x14ac:dyDescent="0.3">
      <c r="A312" s="15" t="s">
        <v>858</v>
      </c>
      <c r="B312" s="4"/>
      <c r="C312" s="16" t="s">
        <v>176</v>
      </c>
      <c r="D312" s="51">
        <v>1</v>
      </c>
      <c r="E312" s="51">
        <v>1</v>
      </c>
      <c r="F312" s="58"/>
      <c r="G312" s="7"/>
      <c r="H312" s="7"/>
      <c r="I312" s="7"/>
      <c r="J312" s="7"/>
      <c r="K312" s="4"/>
      <c r="L312" s="4"/>
    </row>
    <row r="313" spans="1:12" x14ac:dyDescent="0.3">
      <c r="A313" s="15" t="s">
        <v>858</v>
      </c>
      <c r="B313" s="4"/>
      <c r="C313" s="16" t="s">
        <v>178</v>
      </c>
      <c r="D313" s="51">
        <v>4</v>
      </c>
      <c r="E313" s="51">
        <v>4</v>
      </c>
      <c r="F313" s="58"/>
      <c r="G313" s="7"/>
      <c r="H313" s="7"/>
      <c r="I313" s="7"/>
      <c r="J313" s="7"/>
      <c r="K313" s="4"/>
      <c r="L313" s="4"/>
    </row>
    <row r="314" spans="1:12" x14ac:dyDescent="0.3">
      <c r="A314" s="15" t="s">
        <v>858</v>
      </c>
      <c r="B314" s="4"/>
      <c r="C314" s="16" t="s">
        <v>180</v>
      </c>
      <c r="D314" s="51">
        <v>1</v>
      </c>
      <c r="E314" s="51">
        <v>1</v>
      </c>
      <c r="F314" s="58"/>
      <c r="G314" s="7"/>
      <c r="H314" s="7"/>
      <c r="I314" s="7"/>
      <c r="J314" s="7"/>
      <c r="K314" s="4"/>
      <c r="L314" s="4"/>
    </row>
    <row r="315" spans="1:12" x14ac:dyDescent="0.3">
      <c r="A315" s="15" t="s">
        <v>858</v>
      </c>
      <c r="B315" s="4"/>
      <c r="C315" s="16" t="s">
        <v>182</v>
      </c>
      <c r="D315" s="51">
        <v>1</v>
      </c>
      <c r="E315" s="51">
        <v>1</v>
      </c>
      <c r="F315" s="58"/>
      <c r="G315" s="7"/>
      <c r="H315" s="7"/>
      <c r="I315" s="7"/>
      <c r="J315" s="7"/>
      <c r="K315" s="4"/>
      <c r="L315" s="4"/>
    </row>
    <row r="316" spans="1:12" x14ac:dyDescent="0.3">
      <c r="A316" s="15" t="s">
        <v>849</v>
      </c>
      <c r="B316" s="15"/>
      <c r="C316" s="16" t="s">
        <v>893</v>
      </c>
      <c r="D316" s="15">
        <v>4</v>
      </c>
      <c r="E316" s="15"/>
      <c r="F316" s="27"/>
      <c r="G316" s="7"/>
      <c r="H316" s="7"/>
      <c r="I316" s="7"/>
      <c r="J316" s="7"/>
      <c r="K316" s="7"/>
      <c r="L316" s="7">
        <v>4</v>
      </c>
    </row>
    <row r="317" spans="1:12" x14ac:dyDescent="0.3">
      <c r="A317" s="15" t="s">
        <v>849</v>
      </c>
      <c r="B317" s="15"/>
      <c r="C317" s="7" t="s">
        <v>894</v>
      </c>
      <c r="D317" s="15">
        <v>1</v>
      </c>
      <c r="E317" s="15"/>
      <c r="F317" s="27"/>
      <c r="G317" s="7"/>
      <c r="H317" s="7"/>
      <c r="I317" s="7"/>
      <c r="J317" s="7"/>
      <c r="K317" s="7"/>
      <c r="L317" s="7">
        <v>1</v>
      </c>
    </row>
    <row r="318" spans="1:12" x14ac:dyDescent="0.3">
      <c r="A318" s="15" t="s">
        <v>849</v>
      </c>
      <c r="B318" s="15"/>
      <c r="C318" s="16" t="s">
        <v>895</v>
      </c>
      <c r="D318" s="15">
        <v>4</v>
      </c>
      <c r="E318" s="15"/>
      <c r="F318" s="27"/>
      <c r="G318" s="7"/>
      <c r="H318" s="7"/>
      <c r="I318" s="7"/>
      <c r="J318" s="7"/>
      <c r="K318" s="7"/>
      <c r="L318" s="7">
        <v>4</v>
      </c>
    </row>
    <row r="319" spans="1:12" x14ac:dyDescent="0.3">
      <c r="A319" s="15" t="s">
        <v>849</v>
      </c>
      <c r="B319" s="15"/>
      <c r="C319" s="7" t="s">
        <v>896</v>
      </c>
      <c r="D319" s="15">
        <v>1</v>
      </c>
      <c r="E319" s="15"/>
      <c r="F319" s="27"/>
      <c r="G319" s="7"/>
      <c r="H319" s="7"/>
      <c r="I319" s="7"/>
      <c r="J319" s="7"/>
      <c r="K319" s="7"/>
      <c r="L319" s="7">
        <v>1</v>
      </c>
    </row>
    <row r="320" spans="1:12" x14ac:dyDescent="0.3">
      <c r="A320" s="15" t="s">
        <v>849</v>
      </c>
      <c r="B320" s="15"/>
      <c r="C320" s="7" t="s">
        <v>904</v>
      </c>
      <c r="D320" s="15">
        <v>2</v>
      </c>
      <c r="E320" s="15"/>
      <c r="F320" s="27"/>
      <c r="G320" s="7"/>
      <c r="H320" s="7"/>
      <c r="I320" s="7"/>
      <c r="J320" s="7"/>
      <c r="K320" s="7"/>
      <c r="L320" s="7">
        <v>2</v>
      </c>
    </row>
    <row r="321" spans="1:12" x14ac:dyDescent="0.3">
      <c r="A321" s="15" t="s">
        <v>849</v>
      </c>
      <c r="B321" s="15"/>
      <c r="C321" s="7" t="s">
        <v>898</v>
      </c>
      <c r="D321" s="15">
        <v>1</v>
      </c>
      <c r="E321" s="15"/>
      <c r="F321" s="27"/>
      <c r="G321" s="7"/>
      <c r="H321" s="7"/>
      <c r="I321" s="7"/>
      <c r="J321" s="7"/>
      <c r="K321" s="7"/>
      <c r="L321" s="7">
        <v>1</v>
      </c>
    </row>
    <row r="322" spans="1:12" x14ac:dyDescent="0.3">
      <c r="A322" s="15" t="s">
        <v>849</v>
      </c>
      <c r="B322" s="15"/>
      <c r="C322" s="7" t="s">
        <v>899</v>
      </c>
      <c r="D322" s="15">
        <v>1</v>
      </c>
      <c r="E322" s="15"/>
      <c r="F322" s="27"/>
      <c r="G322" s="7"/>
      <c r="H322" s="7"/>
      <c r="I322" s="7"/>
      <c r="J322" s="7"/>
      <c r="K322" s="7"/>
      <c r="L322" s="7">
        <v>1</v>
      </c>
    </row>
    <row r="323" spans="1:12" x14ac:dyDescent="0.3">
      <c r="A323" s="15" t="s">
        <v>849</v>
      </c>
      <c r="B323" s="15"/>
      <c r="C323" s="7" t="s">
        <v>900</v>
      </c>
      <c r="D323" s="15">
        <v>4</v>
      </c>
      <c r="E323" s="15"/>
      <c r="F323" s="27"/>
      <c r="G323" s="7"/>
      <c r="H323" s="7"/>
      <c r="I323" s="7"/>
      <c r="J323" s="7"/>
      <c r="K323" s="7"/>
      <c r="L323" s="7">
        <v>4</v>
      </c>
    </row>
    <row r="324" spans="1:12" x14ac:dyDescent="0.3">
      <c r="A324" s="15" t="s">
        <v>849</v>
      </c>
      <c r="B324" s="15"/>
      <c r="C324" s="7" t="s">
        <v>901</v>
      </c>
      <c r="D324" s="15">
        <v>2</v>
      </c>
      <c r="E324" s="15"/>
      <c r="F324" s="27"/>
      <c r="G324" s="7"/>
      <c r="H324" s="7"/>
      <c r="I324" s="7"/>
      <c r="J324" s="7"/>
      <c r="K324" s="7"/>
      <c r="L324" s="7">
        <v>2</v>
      </c>
    </row>
    <row r="325" spans="1:12" x14ac:dyDescent="0.3">
      <c r="A325" s="15" t="s">
        <v>849</v>
      </c>
      <c r="B325" s="15"/>
      <c r="C325" s="7" t="s">
        <v>902</v>
      </c>
      <c r="D325" s="15">
        <v>4</v>
      </c>
      <c r="E325" s="15"/>
      <c r="F325" s="27"/>
      <c r="G325" s="7"/>
      <c r="H325" s="7"/>
      <c r="I325" s="7"/>
      <c r="J325" s="7"/>
      <c r="K325" s="7"/>
      <c r="L325" s="7">
        <v>4</v>
      </c>
    </row>
    <row r="326" spans="1:12" x14ac:dyDescent="0.3">
      <c r="A326" s="15" t="s">
        <v>849</v>
      </c>
      <c r="B326" s="15"/>
      <c r="C326" s="7" t="s">
        <v>903</v>
      </c>
      <c r="D326" s="15">
        <v>2</v>
      </c>
      <c r="E326" s="15"/>
      <c r="F326" s="27"/>
      <c r="G326" s="7"/>
      <c r="H326" s="7"/>
      <c r="I326" s="7"/>
      <c r="J326" s="7"/>
      <c r="K326" s="7"/>
      <c r="L326" s="7">
        <v>2</v>
      </c>
    </row>
  </sheetData>
  <autoFilter ref="A2:L326" xr:uid="{6289313F-01B8-4551-958D-C572072BE1FF}"/>
  <mergeCells count="1">
    <mergeCell ref="A1:D1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62bbc6-da96-4acf-8d89-b40b8bf1d54d">
      <Terms xmlns="http://schemas.microsoft.com/office/infopath/2007/PartnerControls"/>
    </lcf76f155ced4ddcb4097134ff3c332f>
    <TaxCatchAll xmlns="4e5c4ced-eefa-43b4-8c69-e1a6f95b8d7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126675811C92449CB265098AFC52E3" ma:contentTypeVersion="13" ma:contentTypeDescription="Create a new document." ma:contentTypeScope="" ma:versionID="9db63881325c3fc0fffbe4dd920d98d2">
  <xsd:schema xmlns:xsd="http://www.w3.org/2001/XMLSchema" xmlns:xs="http://www.w3.org/2001/XMLSchema" xmlns:p="http://schemas.microsoft.com/office/2006/metadata/properties" xmlns:ns2="1662bbc6-da96-4acf-8d89-b40b8bf1d54d" xmlns:ns3="4e5c4ced-eefa-43b4-8c69-e1a6f95b8d78" targetNamespace="http://schemas.microsoft.com/office/2006/metadata/properties" ma:root="true" ma:fieldsID="7ff9b1f5a2ba86749ab6842865cf6918" ns2:_="" ns3:_="">
    <xsd:import namespace="1662bbc6-da96-4acf-8d89-b40b8bf1d54d"/>
    <xsd:import namespace="4e5c4ced-eefa-43b4-8c69-e1a6f95b8d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62bbc6-da96-4acf-8d89-b40b8bf1d5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477ef43-1956-4106-8c6c-06a8b35119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5c4ced-eefa-43b4-8c69-e1a6f95b8d7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a98b0e4-53cb-457d-afc1-3e7a07d58c72}" ma:internalName="TaxCatchAll" ma:showField="CatchAllData" ma:web="4e5c4ced-eefa-43b4-8c69-e1a6f95b8d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FAB22A-49F0-454C-822E-11065F2F3E0F}">
  <ds:schemaRefs>
    <ds:schemaRef ds:uri="1662bbc6-da96-4acf-8d89-b40b8bf1d54d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purl.org/dc/dcmitype/"/>
    <ds:schemaRef ds:uri="http://www.w3.org/XML/1998/namespace"/>
    <ds:schemaRef ds:uri="4e5c4ced-eefa-43b4-8c69-e1a6f95b8d78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8E75E39-1680-46AB-BA77-EB4A24BC2C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00D2C7-F06A-4A62-9325-F067C83C73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62bbc6-da96-4acf-8d89-b40b8bf1d54d"/>
    <ds:schemaRef ds:uri="4e5c4ced-eefa-43b4-8c69-e1a6f95b8d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COMPRAS</vt:lpstr>
      <vt:lpstr>STOCK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GRUPOLAE-PORTATIL</dc:creator>
  <cp:keywords/>
  <dc:description/>
  <cp:lastModifiedBy>Ines Bilbao</cp:lastModifiedBy>
  <cp:revision/>
  <dcterms:created xsi:type="dcterms:W3CDTF">2023-08-03T19:51:17Z</dcterms:created>
  <dcterms:modified xsi:type="dcterms:W3CDTF">2025-08-26T11:50:35Z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0x0101009A126675811C92449CB265098AFC52E3</vt:lpwstr>
  </property>
  <property fmtid="{D5CDD505-2E9C-101B-9397-08002B2CF9AE}" pid="3" name="MediaServiceImageTags">
    <vt:lpwstr/>
  </property>
</Properties>
</file>