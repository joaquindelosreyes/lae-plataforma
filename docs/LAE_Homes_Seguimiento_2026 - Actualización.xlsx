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X:\Joaquin-Rodrigo\Nueva organización\2026\"/>
    </mc:Choice>
  </mc:AlternateContent>
  <xr:revisionPtr revIDLastSave="0" documentId="13_ncr:1_{57EF5C18-4342-4173-8A15-37BA9A55652E}" xr6:coauthVersionLast="47" xr6:coauthVersionMax="47" xr10:uidLastSave="{00000000-0000-0000-0000-000000000000}"/>
  <bookViews>
    <workbookView xWindow="-108" yWindow="-108" windowWidth="23256" windowHeight="12456" tabRatio="500" activeTab="6" xr2:uid="{00000000-000D-0000-FFFF-FFFF00000000}"/>
  </bookViews>
  <sheets>
    <sheet name="Resumen Ejecutivo" sheetId="1" r:id="rId1"/>
    <sheet name="1T" sheetId="2" r:id="rId2"/>
    <sheet name="2T" sheetId="3" r:id="rId3"/>
    <sheet name="3T" sheetId="4" r:id="rId4"/>
    <sheet name="4T" sheetId="5" r:id="rId5"/>
    <sheet name="Canal AAFF" sheetId="6" r:id="rId6"/>
    <sheet name="Consolidado Anual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5" i="6" l="1"/>
  <c r="J6" i="6"/>
  <c r="J7" i="6"/>
  <c r="J8" i="6"/>
  <c r="J9" i="6"/>
  <c r="J10" i="6"/>
  <c r="J11" i="6"/>
  <c r="J12" i="6"/>
  <c r="J13" i="6"/>
  <c r="J14" i="6"/>
  <c r="J5" i="6"/>
  <c r="I6" i="6"/>
  <c r="I7" i="6"/>
  <c r="I8" i="6"/>
  <c r="I9" i="6"/>
  <c r="I10" i="6"/>
  <c r="I11" i="6"/>
  <c r="I12" i="6"/>
  <c r="I13" i="6"/>
  <c r="I14" i="6"/>
  <c r="I5" i="6"/>
  <c r="H5" i="6"/>
  <c r="C5" i="7"/>
  <c r="G5" i="6"/>
  <c r="B15" i="7"/>
  <c r="F14" i="7"/>
  <c r="E14" i="7"/>
  <c r="D14" i="7"/>
  <c r="C14" i="7"/>
  <c r="G14" i="7" s="1"/>
  <c r="H14" i="7" s="1"/>
  <c r="F13" i="7"/>
  <c r="E13" i="7"/>
  <c r="D13" i="7"/>
  <c r="C13" i="7"/>
  <c r="F12" i="7"/>
  <c r="E12" i="7"/>
  <c r="D12" i="7"/>
  <c r="C12" i="7"/>
  <c r="F11" i="7"/>
  <c r="E11" i="7"/>
  <c r="D11" i="7"/>
  <c r="C11" i="7"/>
  <c r="F10" i="7"/>
  <c r="E10" i="7"/>
  <c r="D10" i="7"/>
  <c r="C10" i="7"/>
  <c r="G10" i="7" s="1"/>
  <c r="H10" i="7" s="1"/>
  <c r="F9" i="7"/>
  <c r="E9" i="7"/>
  <c r="D9" i="7"/>
  <c r="C9" i="7"/>
  <c r="F8" i="7"/>
  <c r="E8" i="7"/>
  <c r="D8" i="7"/>
  <c r="C8" i="7"/>
  <c r="F7" i="7"/>
  <c r="E7" i="7"/>
  <c r="D7" i="7"/>
  <c r="C7" i="7"/>
  <c r="F6" i="7"/>
  <c r="E6" i="7"/>
  <c r="D6" i="7"/>
  <c r="C6" i="7"/>
  <c r="F5" i="7"/>
  <c r="F15" i="7" s="1"/>
  <c r="E5" i="7"/>
  <c r="E15" i="7" s="1"/>
  <c r="D5" i="7"/>
  <c r="F15" i="6"/>
  <c r="G15" i="6" s="1"/>
  <c r="E15" i="6"/>
  <c r="D15" i="6"/>
  <c r="C15" i="6"/>
  <c r="B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G15" i="5"/>
  <c r="F15" i="5"/>
  <c r="E15" i="5"/>
  <c r="D15" i="5"/>
  <c r="C15" i="5"/>
  <c r="H15" i="5" s="1"/>
  <c r="B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G15" i="4"/>
  <c r="F15" i="4"/>
  <c r="E15" i="4"/>
  <c r="D15" i="4"/>
  <c r="C15" i="4"/>
  <c r="H15" i="4" s="1"/>
  <c r="B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G15" i="3"/>
  <c r="F15" i="3"/>
  <c r="E15" i="3"/>
  <c r="D15" i="3"/>
  <c r="C15" i="3"/>
  <c r="H15" i="3" s="1"/>
  <c r="B15" i="3"/>
  <c r="I14" i="3"/>
  <c r="H14" i="3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G15" i="2"/>
  <c r="F15" i="2"/>
  <c r="E15" i="2"/>
  <c r="D15" i="2"/>
  <c r="C15" i="2"/>
  <c r="H15" i="2" s="1"/>
  <c r="B15" i="2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G15" i="1"/>
  <c r="F15" i="1"/>
  <c r="E15" i="1"/>
  <c r="D15" i="1"/>
  <c r="C15" i="1"/>
  <c r="B15" i="1"/>
  <c r="G13" i="7" l="1"/>
  <c r="H13" i="7" s="1"/>
  <c r="G12" i="7"/>
  <c r="H12" i="7" s="1"/>
  <c r="G11" i="7"/>
  <c r="H11" i="7" s="1"/>
  <c r="G8" i="7"/>
  <c r="H8" i="7" s="1"/>
  <c r="G7" i="7"/>
  <c r="H7" i="7" s="1"/>
  <c r="G6" i="7"/>
  <c r="H6" i="7" s="1"/>
  <c r="D15" i="7"/>
  <c r="G5" i="7"/>
  <c r="G9" i="7"/>
  <c r="H9" i="7" s="1"/>
  <c r="C15" i="7"/>
  <c r="H5" i="7" l="1"/>
  <c r="G15" i="7"/>
  <c r="H15" i="7" s="1"/>
</calcChain>
</file>

<file path=xl/sharedStrings.xml><?xml version="1.0" encoding="utf-8"?>
<sst xmlns="http://schemas.openxmlformats.org/spreadsheetml/2006/main" count="161" uniqueCount="61">
  <si>
    <t>LAE HOMES · SEGUIMIENTO TRIMESTRAL 2026</t>
  </si>
  <si>
    <t>Red consolidada · 10 oficinas operativas · Honorarios en euros</t>
  </si>
  <si>
    <t>OFICINA</t>
  </si>
  <si>
    <t>OBJ. ANUAL</t>
  </si>
  <si>
    <t>OBJ. 1T</t>
  </si>
  <si>
    <t>OBJ. 2T</t>
  </si>
  <si>
    <t>OBJ. 3T</t>
  </si>
  <si>
    <t>OBJ. 4T</t>
  </si>
  <si>
    <t>AAFF obj.</t>
  </si>
  <si>
    <t>Alicante</t>
  </si>
  <si>
    <t>Barcelona</t>
  </si>
  <si>
    <t>Castellón</t>
  </si>
  <si>
    <t>Jaén</t>
  </si>
  <si>
    <t>Madrid</t>
  </si>
  <si>
    <t>Málaga</t>
  </si>
  <si>
    <t>Marbella</t>
  </si>
  <si>
    <t>San Sebastián</t>
  </si>
  <si>
    <t>Sevilla</t>
  </si>
  <si>
    <t>Valencia</t>
  </si>
  <si>
    <t>TOTAL RED</t>
  </si>
  <si>
    <t>* Los objetivos trimestrales provienen de los Planes de Oficina 2026. Introduce los datos reales en las hojas trimestrales.</t>
  </si>
  <si>
    <t>LAE HOMES · 1T (Ene-Mar) 2026 · SEGUIMIENTO DE OBJETIVOS</t>
  </si>
  <si>
    <t>Introduce los datos reales del 1T (Ene-Mar). Los campos en azul son editables. % cumplimiento se calcula automáticamente.</t>
  </si>
  <si>
    <t>▼ DATOS A INTRODUCIR</t>
  </si>
  <si>
    <t>OBJ. 1T (€)</t>
  </si>
  <si>
    <t>HON. COBRADOS (€)</t>
  </si>
  <si>
    <t>HON. GENERADOS (€)</t>
  </si>
  <si>
    <t>CAPTACIONES</t>
  </si>
  <si>
    <t>CIERRES</t>
  </si>
  <si>
    <t>AAFF ACTIVOS</t>
  </si>
  <si>
    <t>% CUMPLIMIENTO</t>
  </si>
  <si>
    <t>SEMÁFORO</t>
  </si>
  <si>
    <t>Leyenda: Fondo azul = dato a introducir  |  ✔ ≥90% objetivo  |  ▲ 60-89%  |  ✖ &lt;60%  |  Fórmulas en negro se calculan solas.</t>
  </si>
  <si>
    <t>LAE HOMES · 2T (Abr-Jun) 2026 · SEGUIMIENTO DE OBJETIVOS</t>
  </si>
  <si>
    <t>Introduce los datos reales del 2T (Abr-Jun). Los campos en azul son editables. % cumplimiento se calcula automáticamente.</t>
  </si>
  <si>
    <t>OBJ. 2T (€)</t>
  </si>
  <si>
    <t>LAE HOMES · 3T (Jul-Sep) 2026 · SEGUIMIENTO DE OBJETIVOS</t>
  </si>
  <si>
    <t>Introduce los datos reales del 3T (Jul-Sep). Los campos en azul son editables. % cumplimiento se calcula automáticamente.</t>
  </si>
  <si>
    <t>OBJ. 3T (€)</t>
  </si>
  <si>
    <t>LAE HOMES · 4T (Oct-Dic) 2026 · SEGUIMIENTO DE OBJETIVOS</t>
  </si>
  <si>
    <t>Introduce los datos reales del 4T (Oct-Dic). Los campos en azul son editables. % cumplimiento se calcula automáticamente.</t>
  </si>
  <si>
    <t>OBJ. 4T (€)</t>
  </si>
  <si>
    <t>LAE HOMES · CANAL AAFF 2026 · SEGUIMIENTO DE DESPACHOS ACTIVOS</t>
  </si>
  <si>
    <t>Introduce el número de despachos AAFF activos al cierre de cada trimestre. Objetivo de red: 94 despachos.</t>
  </si>
  <si>
    <t>OBJ. AAFF</t>
  </si>
  <si>
    <t>1T - ACTIVOS</t>
  </si>
  <si>
    <t>2T - ACTIVOS</t>
  </si>
  <si>
    <t>3T - ACTIVOS</t>
  </si>
  <si>
    <t>4T - ACTIVOS</t>
  </si>
  <si>
    <t>% ALCANCE 4T</t>
  </si>
  <si>
    <t>ESTADO</t>
  </si>
  <si>
    <t>LAE HOMES · CONSOLIDADO ANUAL 2026</t>
  </si>
  <si>
    <t>Los datos se toman automáticamente de las hojas trimestrales. Solo debes introducir datos en 1T, 2T, 3T y 4T.</t>
  </si>
  <si>
    <t>COBRADO 1T</t>
  </si>
  <si>
    <t>COBRADO 2T</t>
  </si>
  <si>
    <t>COBRADO 3T</t>
  </si>
  <si>
    <t>COBRADO 4T</t>
  </si>
  <si>
    <t>TOTAL COBRADO</t>
  </si>
  <si>
    <t>% CUMPL. ANUAL</t>
  </si>
  <si>
    <t>ESTADO ACTUAL</t>
  </si>
  <si>
    <t>% AAFF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</si>
</sst>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"/>
    <numFmt numFmtId="165" formatCode="0.0%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888888"/>
      <name val="Arial"/>
      <charset val="1"/>
    </font>
    <font>
      <b/>
      <sz val="10"/>
      <color rgb="FFFFFFFF"/>
      <name val="Arial"/>
      <charset val="1"/>
    </font>
    <font>
      <b/>
      <sz val="11"/>
      <color rgb="FF1A1A1A"/>
      <name val="Arial"/>
      <charset val="1"/>
    </font>
    <font>
      <sz val="11"/>
      <color rgb="FF1A1A1A"/>
      <name val="Arial"/>
      <charset val="1"/>
    </font>
    <font>
      <sz val="11"/>
      <color rgb="FF0D47A1"/>
      <name val="Arial"/>
      <charset val="1"/>
    </font>
    <font>
      <b/>
      <sz val="11"/>
      <color rgb="FFFFFFFF"/>
      <name val="Arial"/>
      <charset val="1"/>
    </font>
    <font>
      <sz val="9"/>
      <color rgb="FF888888"/>
      <name val="Arial"/>
      <charset val="1"/>
    </font>
    <font>
      <b/>
      <sz val="14"/>
      <color rgb="FFFFFFFF"/>
      <name val="Arial"/>
      <charset val="1"/>
    </font>
    <font>
      <b/>
      <sz val="9"/>
      <color rgb="FF0D47A1"/>
      <name val="Arial"/>
      <charset val="1"/>
    </font>
    <font>
      <b/>
      <sz val="9"/>
      <color rgb="FFFFFFFF"/>
      <name val="Arial"/>
      <charset val="1"/>
    </font>
    <font>
      <sz val="11"/>
      <color rgb="FF0000FF"/>
      <name val="Arial"/>
      <charset val="1"/>
    </font>
    <font>
      <sz val="10"/>
      <color rgb="FF1A1A1A"/>
      <name val="Arial"/>
      <charset val="1"/>
    </font>
    <font>
      <b/>
      <sz val="12"/>
      <color rgb="FFFFFFFF"/>
      <name val="Arial"/>
      <charset val="1"/>
    </font>
    <font>
      <sz val="11"/>
      <color rgb="FF2E7D32"/>
      <name val="Arial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D2D2D"/>
        <bgColor rgb="FF1A1A1A"/>
      </patternFill>
    </fill>
    <fill>
      <patternFill patternType="solid">
        <fgColor rgb="FFF2F2F2"/>
        <bgColor rgb="FFFAF8F3"/>
      </patternFill>
    </fill>
    <fill>
      <patternFill patternType="solid">
        <fgColor rgb="FF1A1A1A"/>
        <bgColor rgb="FF2D2D2D"/>
      </patternFill>
    </fill>
    <fill>
      <patternFill patternType="solid">
        <fgColor rgb="FFFFFFFF"/>
        <bgColor rgb="FFFAF8F3"/>
      </patternFill>
    </fill>
    <fill>
      <patternFill patternType="solid">
        <fgColor rgb="FFFAF8F3"/>
        <bgColor rgb="FFF2F2F2"/>
      </patternFill>
    </fill>
    <fill>
      <patternFill patternType="solid">
        <fgColor rgb="FFB8973A"/>
        <bgColor rgb="FF888888"/>
      </patternFill>
    </fill>
    <fill>
      <patternFill patternType="solid">
        <fgColor rgb="FFE3F2FD"/>
        <bgColor rgb="FFE8F5E9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B8973A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medium">
        <color rgb="FF2D2D2D"/>
      </left>
      <right/>
      <top/>
      <bottom style="thin">
        <color rgb="FFD9D9D9"/>
      </bottom>
      <diagonal/>
    </border>
    <border>
      <left style="dashed">
        <color rgb="FF0D47A1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medium">
        <color rgb="FF2D2D2D"/>
      </left>
      <right/>
      <top/>
      <bottom style="medium">
        <color rgb="FFB8973A"/>
      </bottom>
      <diagonal/>
    </border>
    <border>
      <left style="medium">
        <color rgb="FF2D2D2D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4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3" xfId="0" applyNumberFormat="1" applyFont="1" applyFill="1" applyBorder="1" applyAlignment="1">
      <alignment horizontal="right" vertical="center"/>
    </xf>
    <xf numFmtId="164" fontId="5" fillId="5" borderId="3" xfId="0" applyNumberFormat="1" applyFont="1" applyFill="1" applyBorder="1" applyAlignment="1">
      <alignment horizontal="right" vertical="center"/>
    </xf>
    <xf numFmtId="1" fontId="6" fillId="5" borderId="3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164" fontId="4" fillId="6" borderId="3" xfId="0" applyNumberFormat="1" applyFont="1" applyFill="1" applyBorder="1" applyAlignment="1">
      <alignment horizontal="right" vertical="center"/>
    </xf>
    <xf numFmtId="164" fontId="5" fillId="6" borderId="3" xfId="0" applyNumberFormat="1" applyFont="1" applyFill="1" applyBorder="1" applyAlignment="1">
      <alignment horizontal="right" vertical="center"/>
    </xf>
    <xf numFmtId="1" fontId="6" fillId="6" borderId="3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164" fontId="7" fillId="7" borderId="3" xfId="0" applyNumberFormat="1" applyFont="1" applyFill="1" applyBorder="1" applyAlignment="1">
      <alignment horizontal="right" vertical="center"/>
    </xf>
    <xf numFmtId="1" fontId="7" fillId="7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164" fontId="12" fillId="8" borderId="5" xfId="0" applyNumberFormat="1" applyFont="1" applyFill="1" applyBorder="1" applyAlignment="1">
      <alignment horizontal="right" vertical="center"/>
    </xf>
    <xf numFmtId="164" fontId="12" fillId="8" borderId="6" xfId="0" applyNumberFormat="1" applyFont="1" applyFill="1" applyBorder="1" applyAlignment="1">
      <alignment horizontal="right" vertical="center"/>
    </xf>
    <xf numFmtId="1" fontId="12" fillId="8" borderId="6" xfId="0" applyNumberFormat="1" applyFont="1" applyFill="1" applyBorder="1" applyAlignment="1">
      <alignment horizontal="right" vertical="center"/>
    </xf>
    <xf numFmtId="165" fontId="4" fillId="5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65" fontId="4" fillId="6" borderId="3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165" fontId="14" fillId="7" borderId="3" xfId="0" applyNumberFormat="1" applyFont="1" applyFill="1" applyBorder="1" applyAlignment="1">
      <alignment horizontal="center" vertical="center"/>
    </xf>
    <xf numFmtId="0" fontId="0" fillId="7" borderId="0" xfId="0" applyFill="1"/>
    <xf numFmtId="0" fontId="4" fillId="5" borderId="3" xfId="0" applyFont="1" applyFill="1" applyBorder="1" applyAlignment="1">
      <alignment horizontal="center" vertical="center"/>
    </xf>
    <xf numFmtId="1" fontId="12" fillId="8" borderId="3" xfId="0" applyNumberFormat="1" applyFont="1" applyFill="1" applyBorder="1" applyAlignment="1">
      <alignment horizontal="center" vertical="center"/>
    </xf>
    <xf numFmtId="9" fontId="4" fillId="5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9" fontId="4" fillId="6" borderId="3" xfId="0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left" vertical="center"/>
    </xf>
    <xf numFmtId="9" fontId="7" fillId="7" borderId="0" xfId="0" applyNumberFormat="1" applyFont="1" applyFill="1" applyAlignment="1">
      <alignment horizontal="center" vertical="center"/>
    </xf>
    <xf numFmtId="164" fontId="15" fillId="5" borderId="3" xfId="0" applyNumberFormat="1" applyFont="1" applyFill="1" applyBorder="1" applyAlignment="1">
      <alignment horizontal="right" vertical="center"/>
    </xf>
    <xf numFmtId="164" fontId="15" fillId="6" borderId="3" xfId="0" applyNumberFormat="1" applyFont="1" applyFill="1" applyBorder="1" applyAlignment="1">
      <alignment horizontal="right" vertical="center"/>
    </xf>
    <xf numFmtId="165" fontId="7" fillId="7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4" borderId="9" xfId="0" applyFont="1" applyFill="1" applyBorder="1" applyAlignment="1">
      <alignment horizontal="center" vertical="center" wrapText="1"/>
    </xf>
    <xf numFmtId="9" fontId="0" fillId="7" borderId="0" xfId="1" applyFont="1" applyFill="1"/>
    <xf numFmtId="9" fontId="13" fillId="5" borderId="3" xfId="1" applyFont="1" applyFill="1" applyBorder="1" applyAlignment="1">
      <alignment horizontal="center" vertical="center"/>
    </xf>
    <xf numFmtId="9" fontId="13" fillId="6" borderId="3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9">
    <dxf>
      <font>
        <b/>
        <sz val="10"/>
        <color rgb="FFB71C1C"/>
        <name val="Arial"/>
        <charset val="1"/>
      </font>
      <fill>
        <patternFill>
          <bgColor rgb="FFFFEBEE"/>
        </patternFill>
      </fill>
    </dxf>
    <dxf>
      <font>
        <b/>
        <sz val="10"/>
        <color rgb="FFE65100"/>
        <name val="Arial"/>
        <charset val="1"/>
      </font>
      <fill>
        <patternFill>
          <bgColor rgb="FFFFF3E0"/>
        </patternFill>
      </fill>
    </dxf>
    <dxf>
      <font>
        <b/>
        <sz val="10"/>
        <color rgb="FF2E7D32"/>
        <name val="Arial"/>
        <charset val="1"/>
      </font>
      <fill>
        <patternFill>
          <bgColor rgb="FFE8F5E9"/>
        </patternFill>
      </fill>
    </dxf>
    <dxf>
      <font>
        <b/>
        <sz val="10"/>
        <color rgb="FFB71C1C"/>
        <name val="Arial"/>
        <charset val="1"/>
      </font>
      <fill>
        <patternFill>
          <bgColor rgb="FFFFEBEE"/>
        </patternFill>
      </fill>
    </dxf>
    <dxf>
      <font>
        <b/>
        <sz val="10"/>
        <color rgb="FFE65100"/>
        <name val="Arial"/>
        <charset val="1"/>
      </font>
      <fill>
        <patternFill>
          <bgColor rgb="FFFFF3E0"/>
        </patternFill>
      </fill>
    </dxf>
    <dxf>
      <font>
        <b/>
        <sz val="10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0"/>
        <color rgb="FFB71C1C"/>
        <name val="Arial"/>
        <charset val="1"/>
      </font>
      <fill>
        <patternFill>
          <bgColor rgb="FFFFEBEE"/>
        </patternFill>
      </fill>
    </dxf>
    <dxf>
      <font>
        <b/>
        <sz val="10"/>
        <color rgb="FFE65100"/>
        <name val="Arial"/>
        <charset val="1"/>
      </font>
      <fill>
        <patternFill>
          <bgColor rgb="FFFFF3E0"/>
        </patternFill>
      </fill>
    </dxf>
    <dxf>
      <font>
        <b/>
        <sz val="10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  <dxf>
      <font>
        <b/>
        <sz val="11"/>
        <color rgb="FFB71C1C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2E7D32"/>
        <name val="Arial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AF8F3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666699"/>
      <rgbColor rgb="FFB8973A"/>
      <rgbColor rgb="FF0D47A1"/>
      <rgbColor rgb="FF2E7D32"/>
      <rgbColor rgb="FF003300"/>
      <rgbColor rgb="FF1A1A1A"/>
      <rgbColor rgb="FFB71C1C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31" sqref="D31"/>
    </sheetView>
  </sheetViews>
  <sheetFormatPr baseColWidth="10" defaultColWidth="8.6640625" defaultRowHeight="14.4" x14ac:dyDescent="0.3"/>
  <cols>
    <col min="1" max="1" width="22" customWidth="1"/>
    <col min="2" max="6" width="14" customWidth="1"/>
    <col min="7" max="7" width="12" customWidth="1"/>
  </cols>
  <sheetData>
    <row r="1" spans="1:7" ht="39.75" customHeight="1" x14ac:dyDescent="0.3">
      <c r="A1" s="37" t="s">
        <v>0</v>
      </c>
      <c r="B1" s="37"/>
      <c r="C1" s="37"/>
      <c r="D1" s="37"/>
      <c r="E1" s="37"/>
      <c r="F1" s="37"/>
      <c r="G1" s="37"/>
    </row>
    <row r="2" spans="1:7" ht="19.5" customHeight="1" x14ac:dyDescent="0.3">
      <c r="A2" s="36" t="s">
        <v>1</v>
      </c>
      <c r="B2" s="36"/>
      <c r="C2" s="36"/>
      <c r="D2" s="36"/>
      <c r="E2" s="36"/>
      <c r="F2" s="36"/>
      <c r="G2" s="36"/>
    </row>
    <row r="3" spans="1:7" ht="7.5" customHeight="1" x14ac:dyDescent="0.3"/>
    <row r="4" spans="1:7" ht="31.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1.75" customHeight="1" x14ac:dyDescent="0.3">
      <c r="A5" s="2" t="s">
        <v>9</v>
      </c>
      <c r="B5" s="3">
        <v>250000</v>
      </c>
      <c r="C5" s="4">
        <v>35000</v>
      </c>
      <c r="D5" s="4">
        <v>55000</v>
      </c>
      <c r="E5" s="4">
        <v>75000</v>
      </c>
      <c r="F5" s="4">
        <v>85000</v>
      </c>
      <c r="G5" s="5">
        <v>12</v>
      </c>
    </row>
    <row r="6" spans="1:7" ht="21.75" customHeight="1" x14ac:dyDescent="0.3">
      <c r="A6" s="6" t="s">
        <v>10</v>
      </c>
      <c r="B6" s="7">
        <v>250000</v>
      </c>
      <c r="C6" s="8">
        <v>50000</v>
      </c>
      <c r="D6" s="8">
        <v>50000</v>
      </c>
      <c r="E6" s="8">
        <v>60000</v>
      </c>
      <c r="F6" s="8">
        <v>90000</v>
      </c>
      <c r="G6" s="9">
        <v>8</v>
      </c>
    </row>
    <row r="7" spans="1:7" ht="21.75" customHeight="1" x14ac:dyDescent="0.3">
      <c r="A7" s="2" t="s">
        <v>11</v>
      </c>
      <c r="B7" s="3">
        <v>125000</v>
      </c>
      <c r="C7" s="4">
        <v>18000</v>
      </c>
      <c r="D7" s="4">
        <v>35000</v>
      </c>
      <c r="E7" s="4">
        <v>27000</v>
      </c>
      <c r="F7" s="4">
        <v>45000</v>
      </c>
      <c r="G7" s="5">
        <v>6</v>
      </c>
    </row>
    <row r="8" spans="1:7" ht="21.75" customHeight="1" x14ac:dyDescent="0.3">
      <c r="A8" s="6" t="s">
        <v>12</v>
      </c>
      <c r="B8" s="7">
        <v>134000</v>
      </c>
      <c r="C8" s="8">
        <v>22000</v>
      </c>
      <c r="D8" s="8">
        <v>32000</v>
      </c>
      <c r="E8" s="8">
        <v>35000</v>
      </c>
      <c r="F8" s="8">
        <v>45000</v>
      </c>
      <c r="G8" s="9">
        <v>6</v>
      </c>
    </row>
    <row r="9" spans="1:7" ht="21.75" customHeight="1" x14ac:dyDescent="0.3">
      <c r="A9" s="2" t="s">
        <v>13</v>
      </c>
      <c r="B9" s="3">
        <v>300000</v>
      </c>
      <c r="C9" s="4">
        <v>75000</v>
      </c>
      <c r="D9" s="4">
        <v>70000</v>
      </c>
      <c r="E9" s="4">
        <v>70000</v>
      </c>
      <c r="F9" s="4">
        <v>85000</v>
      </c>
      <c r="G9" s="5">
        <v>10</v>
      </c>
    </row>
    <row r="10" spans="1:7" ht="21.75" customHeight="1" x14ac:dyDescent="0.3">
      <c r="A10" s="6" t="s">
        <v>14</v>
      </c>
      <c r="B10" s="7">
        <v>250000</v>
      </c>
      <c r="C10" s="8">
        <v>35000</v>
      </c>
      <c r="D10" s="8">
        <v>80000</v>
      </c>
      <c r="E10" s="8">
        <v>60000</v>
      </c>
      <c r="F10" s="8">
        <v>75000</v>
      </c>
      <c r="G10" s="9">
        <v>15</v>
      </c>
    </row>
    <row r="11" spans="1:7" ht="21.75" customHeight="1" x14ac:dyDescent="0.3">
      <c r="A11" s="2" t="s">
        <v>15</v>
      </c>
      <c r="B11" s="3">
        <v>375000</v>
      </c>
      <c r="C11" s="4">
        <v>85000</v>
      </c>
      <c r="D11" s="4">
        <v>90000</v>
      </c>
      <c r="E11" s="4">
        <v>90000</v>
      </c>
      <c r="F11" s="4">
        <v>110000</v>
      </c>
      <c r="G11" s="5">
        <v>8</v>
      </c>
    </row>
    <row r="12" spans="1:7" ht="21.75" customHeight="1" x14ac:dyDescent="0.3">
      <c r="A12" s="6" t="s">
        <v>16</v>
      </c>
      <c r="B12" s="7">
        <v>375000</v>
      </c>
      <c r="C12" s="8">
        <v>80000</v>
      </c>
      <c r="D12" s="8">
        <v>110000</v>
      </c>
      <c r="E12" s="8">
        <v>75000</v>
      </c>
      <c r="F12" s="8">
        <v>110000</v>
      </c>
      <c r="G12" s="9">
        <v>6</v>
      </c>
    </row>
    <row r="13" spans="1:7" ht="21.75" customHeight="1" x14ac:dyDescent="0.3">
      <c r="A13" s="2" t="s">
        <v>17</v>
      </c>
      <c r="B13" s="3">
        <v>120000</v>
      </c>
      <c r="C13" s="4">
        <v>15000</v>
      </c>
      <c r="D13" s="4">
        <v>35000</v>
      </c>
      <c r="E13" s="4">
        <v>30000</v>
      </c>
      <c r="F13" s="4">
        <v>40000</v>
      </c>
      <c r="G13" s="5">
        <v>7</v>
      </c>
    </row>
    <row r="14" spans="1:7" ht="21.75" customHeight="1" x14ac:dyDescent="0.3">
      <c r="A14" s="6" t="s">
        <v>18</v>
      </c>
      <c r="B14" s="7">
        <v>250000</v>
      </c>
      <c r="C14" s="8">
        <v>40000</v>
      </c>
      <c r="D14" s="8">
        <v>60000</v>
      </c>
      <c r="E14" s="8">
        <v>70000</v>
      </c>
      <c r="F14" s="8">
        <v>80000</v>
      </c>
      <c r="G14" s="9">
        <v>16</v>
      </c>
    </row>
    <row r="15" spans="1:7" ht="25.5" customHeight="1" x14ac:dyDescent="0.3">
      <c r="A15" s="10" t="s">
        <v>19</v>
      </c>
      <c r="B15" s="11">
        <f t="shared" ref="B15:G15" si="0">SUM(B5:B14)</f>
        <v>2429000</v>
      </c>
      <c r="C15" s="11">
        <f t="shared" si="0"/>
        <v>455000</v>
      </c>
      <c r="D15" s="11">
        <f t="shared" si="0"/>
        <v>617000</v>
      </c>
      <c r="E15" s="11">
        <f t="shared" si="0"/>
        <v>592000</v>
      </c>
      <c r="F15" s="11">
        <f t="shared" si="0"/>
        <v>765000</v>
      </c>
      <c r="G15" s="12">
        <f t="shared" si="0"/>
        <v>94</v>
      </c>
    </row>
    <row r="16" spans="1:7" ht="7.5" customHeight="1" x14ac:dyDescent="0.3"/>
    <row r="17" spans="1:7" x14ac:dyDescent="0.3">
      <c r="A17" s="38" t="s">
        <v>20</v>
      </c>
      <c r="B17" s="38"/>
      <c r="C17" s="38"/>
      <c r="D17" s="38"/>
      <c r="E17" s="38"/>
      <c r="F17" s="38"/>
      <c r="G17" s="38"/>
    </row>
  </sheetData>
  <mergeCells count="3">
    <mergeCell ref="A1:G1"/>
    <mergeCell ref="A2:G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5" sqref="G5:G14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21.109375" bestFit="1" customWidth="1"/>
    <col min="4" max="5" width="14" customWidth="1"/>
    <col min="6" max="7" width="12" customWidth="1"/>
    <col min="8" max="8" width="14" customWidth="1"/>
    <col min="9" max="9" width="16" customWidth="1"/>
  </cols>
  <sheetData>
    <row r="1" spans="1:9" ht="37.5" customHeight="1" x14ac:dyDescent="0.3">
      <c r="A1" s="35" t="s">
        <v>21</v>
      </c>
      <c r="B1" s="35"/>
      <c r="C1" s="35"/>
      <c r="D1" s="35"/>
      <c r="E1" s="35"/>
      <c r="F1" s="35"/>
      <c r="G1" s="35"/>
      <c r="H1" s="35"/>
      <c r="I1" s="35"/>
    </row>
    <row r="2" spans="1:9" ht="18" customHeight="1" x14ac:dyDescent="0.3">
      <c r="A2" s="36" t="s">
        <v>22</v>
      </c>
      <c r="B2" s="36"/>
      <c r="C2" s="36"/>
      <c r="D2" s="36"/>
      <c r="E2" s="36"/>
      <c r="F2" s="36"/>
      <c r="G2" s="36"/>
      <c r="H2" s="36"/>
      <c r="I2" s="36"/>
    </row>
    <row r="3" spans="1:9" ht="15.75" customHeight="1" x14ac:dyDescent="0.3">
      <c r="C3" s="13" t="s">
        <v>23</v>
      </c>
    </row>
    <row r="4" spans="1:9" ht="39.75" customHeight="1" x14ac:dyDescent="0.3">
      <c r="A4" s="14" t="s">
        <v>2</v>
      </c>
      <c r="B4" s="14" t="s">
        <v>24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31</v>
      </c>
    </row>
    <row r="5" spans="1:9" ht="24" customHeight="1" x14ac:dyDescent="0.3">
      <c r="A5" s="2" t="s">
        <v>9</v>
      </c>
      <c r="B5" s="4">
        <v>35000</v>
      </c>
      <c r="C5" s="15">
        <v>71572</v>
      </c>
      <c r="D5" s="16">
        <v>43654.239999999998</v>
      </c>
      <c r="E5" s="17">
        <v>24</v>
      </c>
      <c r="F5" s="17">
        <v>14</v>
      </c>
      <c r="G5" s="17">
        <v>4</v>
      </c>
      <c r="H5" s="18">
        <f t="shared" ref="H5:H15" si="0">IF(C5="","",C5/B5)</f>
        <v>2.0449142857142859</v>
      </c>
      <c r="I5" s="19" t="str">
        <f t="shared" ref="I5:I14" si="1">IF(C5="","Sin datos",IF(H5&gt;=0.9,"✔ En objetivo",IF(H5&gt;=0.6,"▲ En seguimiento","✖ Por debajo")))</f>
        <v>✔ En objetivo</v>
      </c>
    </row>
    <row r="6" spans="1:9" ht="24" customHeight="1" x14ac:dyDescent="0.3">
      <c r="A6" s="6" t="s">
        <v>10</v>
      </c>
      <c r="B6" s="8">
        <v>50000</v>
      </c>
      <c r="C6" s="15">
        <v>11790</v>
      </c>
      <c r="D6" s="16">
        <v>1340</v>
      </c>
      <c r="E6" s="17">
        <v>11</v>
      </c>
      <c r="F6" s="17">
        <v>3</v>
      </c>
      <c r="G6" s="17">
        <v>0</v>
      </c>
      <c r="H6" s="20">
        <f t="shared" si="0"/>
        <v>0.23580000000000001</v>
      </c>
      <c r="I6" s="21" t="str">
        <f t="shared" si="1"/>
        <v>✖ Por debajo</v>
      </c>
    </row>
    <row r="7" spans="1:9" ht="24" customHeight="1" x14ac:dyDescent="0.3">
      <c r="A7" s="2" t="s">
        <v>11</v>
      </c>
      <c r="B7" s="4">
        <v>18000</v>
      </c>
      <c r="C7" s="15">
        <v>21081.8</v>
      </c>
      <c r="D7" s="16">
        <v>34145</v>
      </c>
      <c r="E7" s="17">
        <v>17</v>
      </c>
      <c r="F7" s="17">
        <v>8</v>
      </c>
      <c r="G7" s="17">
        <v>0</v>
      </c>
      <c r="H7" s="18">
        <f t="shared" si="0"/>
        <v>1.171211111111111</v>
      </c>
      <c r="I7" s="19" t="str">
        <f t="shared" si="1"/>
        <v>✔ En objetivo</v>
      </c>
    </row>
    <row r="8" spans="1:9" ht="24" customHeight="1" x14ac:dyDescent="0.3">
      <c r="A8" s="6" t="s">
        <v>12</v>
      </c>
      <c r="B8" s="8">
        <v>22000</v>
      </c>
      <c r="C8" s="15">
        <v>6600</v>
      </c>
      <c r="D8" s="16">
        <v>34600</v>
      </c>
      <c r="E8" s="17">
        <v>6</v>
      </c>
      <c r="F8" s="17">
        <v>1</v>
      </c>
      <c r="G8" s="17">
        <v>1</v>
      </c>
      <c r="H8" s="20">
        <f t="shared" si="0"/>
        <v>0.3</v>
      </c>
      <c r="I8" s="21" t="str">
        <f t="shared" si="1"/>
        <v>✖ Por debajo</v>
      </c>
    </row>
    <row r="9" spans="1:9" ht="24" customHeight="1" x14ac:dyDescent="0.3">
      <c r="A9" s="2" t="s">
        <v>13</v>
      </c>
      <c r="B9" s="4">
        <v>75000</v>
      </c>
      <c r="C9" s="15">
        <v>107885</v>
      </c>
      <c r="D9" s="16">
        <v>51221</v>
      </c>
      <c r="E9" s="17">
        <v>1</v>
      </c>
      <c r="F9" s="17">
        <v>2</v>
      </c>
      <c r="G9" s="17">
        <v>3</v>
      </c>
      <c r="H9" s="18">
        <f t="shared" si="0"/>
        <v>1.4384666666666666</v>
      </c>
      <c r="I9" s="19" t="str">
        <f t="shared" si="1"/>
        <v>✔ En objetivo</v>
      </c>
    </row>
    <row r="10" spans="1:9" ht="24" customHeight="1" x14ac:dyDescent="0.3">
      <c r="A10" s="6" t="s">
        <v>14</v>
      </c>
      <c r="B10" s="8">
        <v>35000</v>
      </c>
      <c r="C10" s="15">
        <v>17085</v>
      </c>
      <c r="D10" s="16">
        <v>18950</v>
      </c>
      <c r="E10" s="17">
        <v>11</v>
      </c>
      <c r="F10" s="17">
        <v>4</v>
      </c>
      <c r="G10" s="17">
        <v>5</v>
      </c>
      <c r="H10" s="20">
        <f t="shared" si="0"/>
        <v>0.48814285714285716</v>
      </c>
      <c r="I10" s="21" t="str">
        <f t="shared" si="1"/>
        <v>✖ Por debajo</v>
      </c>
    </row>
    <row r="11" spans="1:9" ht="24" customHeight="1" x14ac:dyDescent="0.3">
      <c r="A11" s="2" t="s">
        <v>15</v>
      </c>
      <c r="B11" s="4">
        <v>85000</v>
      </c>
      <c r="C11" s="15">
        <v>74900</v>
      </c>
      <c r="D11" s="16">
        <v>77060</v>
      </c>
      <c r="E11" s="17">
        <v>14</v>
      </c>
      <c r="F11" s="17">
        <v>6</v>
      </c>
      <c r="G11" s="17">
        <v>2</v>
      </c>
      <c r="H11" s="18">
        <f t="shared" si="0"/>
        <v>0.88117647058823534</v>
      </c>
      <c r="I11" s="19" t="str">
        <f t="shared" si="1"/>
        <v>▲ En seguimiento</v>
      </c>
    </row>
    <row r="12" spans="1:9" ht="24" customHeight="1" x14ac:dyDescent="0.3">
      <c r="A12" s="6" t="s">
        <v>16</v>
      </c>
      <c r="B12" s="8">
        <v>80000</v>
      </c>
      <c r="C12" s="15">
        <v>31030.17</v>
      </c>
      <c r="D12" s="16">
        <v>140740</v>
      </c>
      <c r="E12" s="17">
        <v>17</v>
      </c>
      <c r="F12" s="17">
        <v>48</v>
      </c>
      <c r="G12" s="17">
        <v>0</v>
      </c>
      <c r="H12" s="20">
        <f t="shared" si="0"/>
        <v>0.38787712499999999</v>
      </c>
      <c r="I12" s="21" t="str">
        <f t="shared" si="1"/>
        <v>✖ Por debajo</v>
      </c>
    </row>
    <row r="13" spans="1:9" ht="24" customHeight="1" x14ac:dyDescent="0.3">
      <c r="A13" s="2" t="s">
        <v>17</v>
      </c>
      <c r="B13" s="4">
        <v>15000</v>
      </c>
      <c r="C13" s="15">
        <v>3280</v>
      </c>
      <c r="D13" s="16">
        <v>15080</v>
      </c>
      <c r="E13" s="17">
        <v>7</v>
      </c>
      <c r="F13" s="17">
        <v>2</v>
      </c>
      <c r="G13" s="17">
        <v>2</v>
      </c>
      <c r="H13" s="18">
        <f t="shared" si="0"/>
        <v>0.21866666666666668</v>
      </c>
      <c r="I13" s="19" t="str">
        <f t="shared" si="1"/>
        <v>✖ Por debajo</v>
      </c>
    </row>
    <row r="14" spans="1:9" ht="24" customHeight="1" x14ac:dyDescent="0.3">
      <c r="A14" s="6" t="s">
        <v>18</v>
      </c>
      <c r="B14" s="8">
        <v>40000</v>
      </c>
      <c r="C14" s="15">
        <v>11730</v>
      </c>
      <c r="D14" s="16">
        <v>75650</v>
      </c>
      <c r="E14" s="17">
        <v>6</v>
      </c>
      <c r="F14" s="17">
        <v>2</v>
      </c>
      <c r="G14" s="17">
        <v>7</v>
      </c>
      <c r="H14" s="20">
        <f t="shared" si="0"/>
        <v>0.29325000000000001</v>
      </c>
      <c r="I14" s="21" t="str">
        <f t="shared" si="1"/>
        <v>✖ Por debajo</v>
      </c>
    </row>
    <row r="15" spans="1:9" ht="27.75" customHeight="1" x14ac:dyDescent="0.3">
      <c r="A15" s="22" t="s">
        <v>19</v>
      </c>
      <c r="B15" s="11">
        <f t="shared" ref="B15:G15" si="2">SUM(B5:B14)</f>
        <v>455000</v>
      </c>
      <c r="C15" s="11">
        <f t="shared" si="2"/>
        <v>356953.97</v>
      </c>
      <c r="D15" s="11">
        <f t="shared" si="2"/>
        <v>492440.24</v>
      </c>
      <c r="E15" s="12">
        <f t="shared" si="2"/>
        <v>114</v>
      </c>
      <c r="F15" s="12">
        <f t="shared" si="2"/>
        <v>90</v>
      </c>
      <c r="G15" s="12">
        <f t="shared" si="2"/>
        <v>24</v>
      </c>
      <c r="H15" s="23">
        <f t="shared" si="0"/>
        <v>0.78451421978021973</v>
      </c>
      <c r="I15" s="24"/>
    </row>
    <row r="16" spans="1:9" ht="7.5" customHeight="1" x14ac:dyDescent="0.3"/>
    <row r="17" spans="1:9" x14ac:dyDescent="0.3">
      <c r="A17" s="38" t="s">
        <v>32</v>
      </c>
      <c r="B17" s="38"/>
      <c r="C17" s="38"/>
      <c r="D17" s="38"/>
      <c r="E17" s="38"/>
      <c r="F17" s="38"/>
      <c r="G17" s="38"/>
      <c r="H17" s="38"/>
      <c r="I17" s="38"/>
    </row>
  </sheetData>
  <mergeCells count="3">
    <mergeCell ref="A1:I1"/>
    <mergeCell ref="A2:I2"/>
    <mergeCell ref="A17:I17"/>
  </mergeCells>
  <conditionalFormatting sqref="H5:H14">
    <cfRule type="cellIs" dxfId="38" priority="2" operator="greaterThanOrEqual">
      <formula>0.9</formula>
    </cfRule>
    <cfRule type="cellIs" dxfId="37" priority="3" operator="between">
      <formula>0.6</formula>
      <formula>0.8999</formula>
    </cfRule>
    <cfRule type="cellIs" dxfId="36" priority="4" operator="lessThan">
      <formula>0.6</formula>
    </cfRule>
  </conditionalFormatting>
  <conditionalFormatting sqref="I5:I14">
    <cfRule type="expression" dxfId="35" priority="5">
      <formula>I5="✔ En objetivo"</formula>
    </cfRule>
    <cfRule type="expression" dxfId="34" priority="6">
      <formula>I5="▲ En seguimiento"</formula>
    </cfRule>
    <cfRule type="expression" dxfId="33" priority="7">
      <formula>I5="✖ Por debajo"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5" sqref="G5:G14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21.109375" bestFit="1" customWidth="1"/>
    <col min="4" max="5" width="14" customWidth="1"/>
    <col min="6" max="7" width="12" customWidth="1"/>
    <col min="8" max="8" width="14" customWidth="1"/>
    <col min="9" max="9" width="18.88671875" bestFit="1" customWidth="1"/>
  </cols>
  <sheetData>
    <row r="1" spans="1:9" ht="37.5" customHeight="1" x14ac:dyDescent="0.3">
      <c r="A1" s="35" t="s">
        <v>33</v>
      </c>
      <c r="B1" s="35"/>
      <c r="C1" s="35"/>
      <c r="D1" s="35"/>
      <c r="E1" s="35"/>
      <c r="F1" s="35"/>
      <c r="G1" s="35"/>
      <c r="H1" s="35"/>
      <c r="I1" s="35"/>
    </row>
    <row r="2" spans="1:9" ht="18" customHeight="1" x14ac:dyDescent="0.3">
      <c r="A2" s="36" t="s">
        <v>34</v>
      </c>
      <c r="B2" s="36"/>
      <c r="C2" s="36"/>
      <c r="D2" s="36"/>
      <c r="E2" s="36"/>
      <c r="F2" s="36"/>
      <c r="G2" s="36"/>
      <c r="H2" s="36"/>
      <c r="I2" s="36"/>
    </row>
    <row r="3" spans="1:9" ht="15.75" customHeight="1" x14ac:dyDescent="0.3">
      <c r="C3" s="13" t="s">
        <v>23</v>
      </c>
    </row>
    <row r="4" spans="1:9" ht="39.75" customHeight="1" x14ac:dyDescent="0.3">
      <c r="A4" s="14" t="s">
        <v>2</v>
      </c>
      <c r="B4" s="14" t="s">
        <v>35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31</v>
      </c>
    </row>
    <row r="5" spans="1:9" ht="24" customHeight="1" x14ac:dyDescent="0.3">
      <c r="A5" s="2" t="s">
        <v>9</v>
      </c>
      <c r="B5" s="4">
        <v>55000</v>
      </c>
      <c r="C5" s="15">
        <v>15300</v>
      </c>
      <c r="D5" s="16">
        <v>7200</v>
      </c>
      <c r="E5" s="17">
        <v>8</v>
      </c>
      <c r="F5" s="17">
        <v>1</v>
      </c>
      <c r="G5" s="17">
        <v>6</v>
      </c>
      <c r="H5" s="18">
        <f t="shared" ref="H5:H15" si="0">IF(C5="","",C5/B5)</f>
        <v>0.2781818181818182</v>
      </c>
      <c r="I5" s="19" t="str">
        <f t="shared" ref="I5:I14" si="1">IF(C5="","Sin datos",IF(H5&gt;=0.9,"✔ En objetivo",IF(H5&gt;=0.6,"▲ En seguimiento","✖ Por debajo")))</f>
        <v>✖ Por debajo</v>
      </c>
    </row>
    <row r="6" spans="1:9" ht="24" customHeight="1" x14ac:dyDescent="0.3">
      <c r="A6" s="6" t="s">
        <v>10</v>
      </c>
      <c r="B6" s="8">
        <v>50000</v>
      </c>
      <c r="C6" s="15">
        <v>1400</v>
      </c>
      <c r="D6" s="16">
        <v>226260</v>
      </c>
      <c r="E6" s="17">
        <v>4</v>
      </c>
      <c r="F6" s="17">
        <v>1</v>
      </c>
      <c r="G6" s="17">
        <v>0</v>
      </c>
      <c r="H6" s="20">
        <f t="shared" si="0"/>
        <v>2.8000000000000001E-2</v>
      </c>
      <c r="I6" s="21" t="str">
        <f t="shared" si="1"/>
        <v>✖ Por debajo</v>
      </c>
    </row>
    <row r="7" spans="1:9" ht="24" customHeight="1" x14ac:dyDescent="0.3">
      <c r="A7" s="2" t="s">
        <v>11</v>
      </c>
      <c r="B7" s="4">
        <v>35000</v>
      </c>
      <c r="C7" s="15">
        <v>21050</v>
      </c>
      <c r="D7" s="16">
        <v>600</v>
      </c>
      <c r="E7" s="17">
        <v>2</v>
      </c>
      <c r="F7" s="17">
        <v>3</v>
      </c>
      <c r="G7" s="17">
        <v>1</v>
      </c>
      <c r="H7" s="18">
        <f t="shared" si="0"/>
        <v>0.60142857142857142</v>
      </c>
      <c r="I7" s="19" t="str">
        <f t="shared" si="1"/>
        <v>▲ En seguimiento</v>
      </c>
    </row>
    <row r="8" spans="1:9" ht="24" customHeight="1" x14ac:dyDescent="0.3">
      <c r="A8" s="6" t="s">
        <v>12</v>
      </c>
      <c r="B8" s="8">
        <v>32000</v>
      </c>
      <c r="C8" s="15">
        <v>0</v>
      </c>
      <c r="D8" s="16">
        <v>0</v>
      </c>
      <c r="E8" s="17">
        <v>1</v>
      </c>
      <c r="F8" s="17">
        <v>0</v>
      </c>
      <c r="G8" s="17">
        <v>3</v>
      </c>
      <c r="H8" s="20">
        <f t="shared" si="0"/>
        <v>0</v>
      </c>
      <c r="I8" s="21" t="str">
        <f t="shared" si="1"/>
        <v>✖ Por debajo</v>
      </c>
    </row>
    <row r="9" spans="1:9" ht="24" customHeight="1" x14ac:dyDescent="0.3">
      <c r="A9" s="2" t="s">
        <v>13</v>
      </c>
      <c r="B9" s="4">
        <v>70000</v>
      </c>
      <c r="C9" s="15">
        <v>0</v>
      </c>
      <c r="D9" s="16">
        <v>0</v>
      </c>
      <c r="E9" s="17">
        <v>0</v>
      </c>
      <c r="F9" s="17">
        <v>0</v>
      </c>
      <c r="G9" s="17">
        <v>5</v>
      </c>
      <c r="H9" s="18">
        <f t="shared" si="0"/>
        <v>0</v>
      </c>
      <c r="I9" s="19" t="str">
        <f t="shared" si="1"/>
        <v>✖ Por debajo</v>
      </c>
    </row>
    <row r="10" spans="1:9" ht="24" customHeight="1" x14ac:dyDescent="0.3">
      <c r="A10" s="6" t="s">
        <v>14</v>
      </c>
      <c r="B10" s="8">
        <v>80000</v>
      </c>
      <c r="C10" s="15">
        <v>2300</v>
      </c>
      <c r="D10" s="16">
        <v>2300</v>
      </c>
      <c r="E10" s="17">
        <v>4</v>
      </c>
      <c r="F10" s="17">
        <v>1</v>
      </c>
      <c r="G10" s="17">
        <v>6</v>
      </c>
      <c r="H10" s="20">
        <f t="shared" si="0"/>
        <v>2.8750000000000001E-2</v>
      </c>
      <c r="I10" s="21" t="str">
        <f t="shared" si="1"/>
        <v>✖ Por debajo</v>
      </c>
    </row>
    <row r="11" spans="1:9" ht="24" customHeight="1" x14ac:dyDescent="0.3">
      <c r="A11" s="2" t="s">
        <v>15</v>
      </c>
      <c r="B11" s="4">
        <v>90000</v>
      </c>
      <c r="C11" s="15">
        <v>0</v>
      </c>
      <c r="D11" s="16">
        <v>0</v>
      </c>
      <c r="E11" s="17">
        <v>1</v>
      </c>
      <c r="F11" s="17">
        <v>0</v>
      </c>
      <c r="G11" s="17">
        <v>5</v>
      </c>
      <c r="H11" s="18">
        <f t="shared" si="0"/>
        <v>0</v>
      </c>
      <c r="I11" s="19" t="str">
        <f t="shared" si="1"/>
        <v>✖ Por debajo</v>
      </c>
    </row>
    <row r="12" spans="1:9" ht="24" customHeight="1" x14ac:dyDescent="0.3">
      <c r="A12" s="6" t="s">
        <v>16</v>
      </c>
      <c r="B12" s="8">
        <v>110000</v>
      </c>
      <c r="C12" s="15">
        <v>38475</v>
      </c>
      <c r="D12" s="16">
        <v>3105</v>
      </c>
      <c r="E12" s="17">
        <v>3</v>
      </c>
      <c r="F12" s="17">
        <v>5</v>
      </c>
      <c r="G12" s="17">
        <v>0</v>
      </c>
      <c r="H12" s="20">
        <f t="shared" si="0"/>
        <v>0.34977272727272729</v>
      </c>
      <c r="I12" s="21" t="str">
        <f t="shared" si="1"/>
        <v>✖ Por debajo</v>
      </c>
    </row>
    <row r="13" spans="1:9" ht="24" customHeight="1" x14ac:dyDescent="0.3">
      <c r="A13" s="2" t="s">
        <v>17</v>
      </c>
      <c r="B13" s="4">
        <v>35000</v>
      </c>
      <c r="C13" s="15">
        <v>0</v>
      </c>
      <c r="D13" s="16">
        <v>0</v>
      </c>
      <c r="E13" s="17">
        <v>1</v>
      </c>
      <c r="F13" s="17">
        <v>0</v>
      </c>
      <c r="G13" s="17">
        <v>4</v>
      </c>
      <c r="H13" s="18">
        <f t="shared" si="0"/>
        <v>0</v>
      </c>
      <c r="I13" s="19" t="str">
        <f t="shared" si="1"/>
        <v>✖ Por debajo</v>
      </c>
    </row>
    <row r="14" spans="1:9" ht="24" customHeight="1" x14ac:dyDescent="0.3">
      <c r="A14" s="6" t="s">
        <v>18</v>
      </c>
      <c r="B14" s="8">
        <v>60000</v>
      </c>
      <c r="C14" s="15">
        <v>2650</v>
      </c>
      <c r="D14" s="16">
        <v>2650</v>
      </c>
      <c r="E14" s="17">
        <v>1</v>
      </c>
      <c r="F14" s="17">
        <v>2</v>
      </c>
      <c r="G14" s="17">
        <v>9</v>
      </c>
      <c r="H14" s="20">
        <f t="shared" si="0"/>
        <v>4.4166666666666667E-2</v>
      </c>
      <c r="I14" s="21" t="str">
        <f t="shared" si="1"/>
        <v>✖ Por debajo</v>
      </c>
    </row>
    <row r="15" spans="1:9" ht="27.75" customHeight="1" x14ac:dyDescent="0.3">
      <c r="A15" s="22" t="s">
        <v>19</v>
      </c>
      <c r="B15" s="11">
        <f t="shared" ref="B15:G15" si="2">SUM(B5:B14)</f>
        <v>617000</v>
      </c>
      <c r="C15" s="11">
        <f t="shared" si="2"/>
        <v>81175</v>
      </c>
      <c r="D15" s="11">
        <f t="shared" si="2"/>
        <v>242115</v>
      </c>
      <c r="E15" s="12">
        <f t="shared" si="2"/>
        <v>25</v>
      </c>
      <c r="F15" s="12">
        <f t="shared" si="2"/>
        <v>13</v>
      </c>
      <c r="G15" s="12">
        <f t="shared" si="2"/>
        <v>39</v>
      </c>
      <c r="H15" s="23">
        <f t="shared" si="0"/>
        <v>0.13156401944894652</v>
      </c>
      <c r="I15" s="24"/>
    </row>
    <row r="16" spans="1:9" ht="7.5" customHeight="1" x14ac:dyDescent="0.3"/>
    <row r="17" spans="1:9" x14ac:dyDescent="0.3">
      <c r="A17" s="38" t="s">
        <v>32</v>
      </c>
      <c r="B17" s="38"/>
      <c r="C17" s="38"/>
      <c r="D17" s="38"/>
      <c r="E17" s="38"/>
      <c r="F17" s="38"/>
      <c r="G17" s="38"/>
      <c r="H17" s="38"/>
      <c r="I17" s="38"/>
    </row>
  </sheetData>
  <mergeCells count="3">
    <mergeCell ref="A1:I1"/>
    <mergeCell ref="A2:I2"/>
    <mergeCell ref="A17:I17"/>
  </mergeCells>
  <conditionalFormatting sqref="H5:H14">
    <cfRule type="cellIs" dxfId="32" priority="2" operator="greaterThanOrEqual">
      <formula>0.9</formula>
    </cfRule>
    <cfRule type="cellIs" dxfId="31" priority="3" operator="between">
      <formula>0.6</formula>
      <formula>0.8999</formula>
    </cfRule>
    <cfRule type="cellIs" dxfId="30" priority="4" operator="lessThan">
      <formula>0.6</formula>
    </cfRule>
  </conditionalFormatting>
  <conditionalFormatting sqref="I5:I14">
    <cfRule type="expression" dxfId="29" priority="5">
      <formula>I5="✔ En objetivo"</formula>
    </cfRule>
    <cfRule type="expression" dxfId="28" priority="6">
      <formula>I5="▲ En seguimiento"</formula>
    </cfRule>
    <cfRule type="expression" dxfId="27" priority="7">
      <formula>I5="✖ Por debajo"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3" sqref="D1:D1048576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21.109375" bestFit="1" customWidth="1"/>
    <col min="4" max="5" width="14" customWidth="1"/>
    <col min="6" max="7" width="12" customWidth="1"/>
    <col min="8" max="8" width="14" customWidth="1"/>
    <col min="9" max="9" width="16" customWidth="1"/>
  </cols>
  <sheetData>
    <row r="1" spans="1:9" ht="37.5" customHeight="1" x14ac:dyDescent="0.3">
      <c r="A1" s="35" t="s">
        <v>36</v>
      </c>
      <c r="B1" s="35"/>
      <c r="C1" s="35"/>
      <c r="D1" s="35"/>
      <c r="E1" s="35"/>
      <c r="F1" s="35"/>
      <c r="G1" s="35"/>
      <c r="H1" s="35"/>
      <c r="I1" s="35"/>
    </row>
    <row r="2" spans="1:9" ht="18" customHeight="1" x14ac:dyDescent="0.3">
      <c r="A2" s="36" t="s">
        <v>37</v>
      </c>
      <c r="B2" s="36"/>
      <c r="C2" s="36"/>
      <c r="D2" s="36"/>
      <c r="E2" s="36"/>
      <c r="F2" s="36"/>
      <c r="G2" s="36"/>
      <c r="H2" s="36"/>
      <c r="I2" s="36"/>
    </row>
    <row r="3" spans="1:9" ht="15.75" customHeight="1" x14ac:dyDescent="0.3">
      <c r="C3" s="13" t="s">
        <v>23</v>
      </c>
    </row>
    <row r="4" spans="1:9" ht="39.75" customHeight="1" x14ac:dyDescent="0.3">
      <c r="A4" s="14" t="s">
        <v>2</v>
      </c>
      <c r="B4" s="14" t="s">
        <v>38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31</v>
      </c>
    </row>
    <row r="5" spans="1:9" ht="24" customHeight="1" x14ac:dyDescent="0.3">
      <c r="A5" s="2" t="s">
        <v>9</v>
      </c>
      <c r="B5" s="4">
        <v>75000</v>
      </c>
      <c r="C5" s="15"/>
      <c r="D5" s="16"/>
      <c r="E5" s="17"/>
      <c r="F5" s="17"/>
      <c r="G5" s="17"/>
      <c r="H5" s="18" t="str">
        <f t="shared" ref="H5:H15" si="0">IF(C5="","",C5/B5)</f>
        <v/>
      </c>
      <c r="I5" s="19" t="str">
        <f t="shared" ref="I5:I14" si="1">IF(C5="","Sin datos",IF(H5&gt;=0.9,"✔ En objetivo",IF(H5&gt;=0.6,"▲ En seguimiento","✖ Por debajo")))</f>
        <v>Sin datos</v>
      </c>
    </row>
    <row r="6" spans="1:9" ht="24" customHeight="1" x14ac:dyDescent="0.3">
      <c r="A6" s="6" t="s">
        <v>10</v>
      </c>
      <c r="B6" s="8">
        <v>60000</v>
      </c>
      <c r="C6" s="15"/>
      <c r="D6" s="16"/>
      <c r="E6" s="17"/>
      <c r="F6" s="17"/>
      <c r="G6" s="17"/>
      <c r="H6" s="20" t="str">
        <f t="shared" si="0"/>
        <v/>
      </c>
      <c r="I6" s="21" t="str">
        <f t="shared" si="1"/>
        <v>Sin datos</v>
      </c>
    </row>
    <row r="7" spans="1:9" ht="24" customHeight="1" x14ac:dyDescent="0.3">
      <c r="A7" s="2" t="s">
        <v>11</v>
      </c>
      <c r="B7" s="4">
        <v>27000</v>
      </c>
      <c r="C7" s="15"/>
      <c r="D7" s="16"/>
      <c r="E7" s="17"/>
      <c r="F7" s="17"/>
      <c r="G7" s="17"/>
      <c r="H7" s="18" t="str">
        <f t="shared" si="0"/>
        <v/>
      </c>
      <c r="I7" s="19" t="str">
        <f t="shared" si="1"/>
        <v>Sin datos</v>
      </c>
    </row>
    <row r="8" spans="1:9" ht="24" customHeight="1" x14ac:dyDescent="0.3">
      <c r="A8" s="6" t="s">
        <v>12</v>
      </c>
      <c r="B8" s="8">
        <v>35000</v>
      </c>
      <c r="C8" s="15"/>
      <c r="D8" s="16"/>
      <c r="E8" s="17"/>
      <c r="F8" s="17"/>
      <c r="G8" s="17"/>
      <c r="H8" s="20" t="str">
        <f t="shared" si="0"/>
        <v/>
      </c>
      <c r="I8" s="21" t="str">
        <f t="shared" si="1"/>
        <v>Sin datos</v>
      </c>
    </row>
    <row r="9" spans="1:9" ht="24" customHeight="1" x14ac:dyDescent="0.3">
      <c r="A9" s="2" t="s">
        <v>13</v>
      </c>
      <c r="B9" s="4">
        <v>70000</v>
      </c>
      <c r="C9" s="15"/>
      <c r="D9" s="16"/>
      <c r="E9" s="17"/>
      <c r="F9" s="17"/>
      <c r="G9" s="17"/>
      <c r="H9" s="18" t="str">
        <f t="shared" si="0"/>
        <v/>
      </c>
      <c r="I9" s="19" t="str">
        <f t="shared" si="1"/>
        <v>Sin datos</v>
      </c>
    </row>
    <row r="10" spans="1:9" ht="24" customHeight="1" x14ac:dyDescent="0.3">
      <c r="A10" s="6" t="s">
        <v>14</v>
      </c>
      <c r="B10" s="8">
        <v>60000</v>
      </c>
      <c r="C10" s="15"/>
      <c r="D10" s="16"/>
      <c r="E10" s="17"/>
      <c r="F10" s="17"/>
      <c r="G10" s="17"/>
      <c r="H10" s="20" t="str">
        <f t="shared" si="0"/>
        <v/>
      </c>
      <c r="I10" s="21" t="str">
        <f t="shared" si="1"/>
        <v>Sin datos</v>
      </c>
    </row>
    <row r="11" spans="1:9" ht="24" customHeight="1" x14ac:dyDescent="0.3">
      <c r="A11" s="2" t="s">
        <v>15</v>
      </c>
      <c r="B11" s="4">
        <v>90000</v>
      </c>
      <c r="C11" s="15"/>
      <c r="D11" s="16"/>
      <c r="E11" s="17"/>
      <c r="F11" s="17"/>
      <c r="G11" s="17"/>
      <c r="H11" s="18" t="str">
        <f t="shared" si="0"/>
        <v/>
      </c>
      <c r="I11" s="19" t="str">
        <f t="shared" si="1"/>
        <v>Sin datos</v>
      </c>
    </row>
    <row r="12" spans="1:9" ht="24" customHeight="1" x14ac:dyDescent="0.3">
      <c r="A12" s="6" t="s">
        <v>16</v>
      </c>
      <c r="B12" s="8">
        <v>75000</v>
      </c>
      <c r="C12" s="15"/>
      <c r="D12" s="16"/>
      <c r="E12" s="17"/>
      <c r="F12" s="17"/>
      <c r="G12" s="17"/>
      <c r="H12" s="20" t="str">
        <f t="shared" si="0"/>
        <v/>
      </c>
      <c r="I12" s="21" t="str">
        <f t="shared" si="1"/>
        <v>Sin datos</v>
      </c>
    </row>
    <row r="13" spans="1:9" ht="24" customHeight="1" x14ac:dyDescent="0.3">
      <c r="A13" s="2" t="s">
        <v>17</v>
      </c>
      <c r="B13" s="4">
        <v>30000</v>
      </c>
      <c r="C13" s="15"/>
      <c r="D13" s="16"/>
      <c r="E13" s="17"/>
      <c r="F13" s="17"/>
      <c r="G13" s="17"/>
      <c r="H13" s="18" t="str">
        <f t="shared" si="0"/>
        <v/>
      </c>
      <c r="I13" s="19" t="str">
        <f t="shared" si="1"/>
        <v>Sin datos</v>
      </c>
    </row>
    <row r="14" spans="1:9" ht="24" customHeight="1" x14ac:dyDescent="0.3">
      <c r="A14" s="6" t="s">
        <v>18</v>
      </c>
      <c r="B14" s="8">
        <v>70000</v>
      </c>
      <c r="C14" s="15"/>
      <c r="D14" s="16"/>
      <c r="E14" s="17"/>
      <c r="F14" s="17"/>
      <c r="G14" s="17"/>
      <c r="H14" s="20" t="str">
        <f t="shared" si="0"/>
        <v/>
      </c>
      <c r="I14" s="21" t="str">
        <f t="shared" si="1"/>
        <v>Sin datos</v>
      </c>
    </row>
    <row r="15" spans="1:9" ht="27.75" customHeight="1" x14ac:dyDescent="0.3">
      <c r="A15" s="22" t="s">
        <v>19</v>
      </c>
      <c r="B15" s="11">
        <f t="shared" ref="B15:G15" si="2">SUM(B5:B14)</f>
        <v>592000</v>
      </c>
      <c r="C15" s="11">
        <f t="shared" si="2"/>
        <v>0</v>
      </c>
      <c r="D15" s="11">
        <f t="shared" si="2"/>
        <v>0</v>
      </c>
      <c r="E15" s="12">
        <f t="shared" si="2"/>
        <v>0</v>
      </c>
      <c r="F15" s="12">
        <f t="shared" si="2"/>
        <v>0</v>
      </c>
      <c r="G15" s="12">
        <f t="shared" si="2"/>
        <v>0</v>
      </c>
      <c r="H15" s="23">
        <f t="shared" si="0"/>
        <v>0</v>
      </c>
      <c r="I15" s="24"/>
    </row>
    <row r="16" spans="1:9" ht="7.5" customHeight="1" x14ac:dyDescent="0.3"/>
    <row r="17" spans="1:9" x14ac:dyDescent="0.3">
      <c r="A17" s="38" t="s">
        <v>32</v>
      </c>
      <c r="B17" s="38"/>
      <c r="C17" s="38"/>
      <c r="D17" s="38"/>
      <c r="E17" s="38"/>
      <c r="F17" s="38"/>
      <c r="G17" s="38"/>
      <c r="H17" s="38"/>
      <c r="I17" s="38"/>
    </row>
  </sheetData>
  <mergeCells count="3">
    <mergeCell ref="A1:I1"/>
    <mergeCell ref="A2:I2"/>
    <mergeCell ref="A17:I17"/>
  </mergeCells>
  <conditionalFormatting sqref="H5:H14">
    <cfRule type="cellIs" dxfId="26" priority="2" operator="greaterThanOrEqual">
      <formula>0.9</formula>
    </cfRule>
    <cfRule type="cellIs" dxfId="25" priority="3" operator="between">
      <formula>0.6</formula>
      <formula>0.8999</formula>
    </cfRule>
    <cfRule type="cellIs" dxfId="24" priority="4" operator="lessThan">
      <formula>0.6</formula>
    </cfRule>
  </conditionalFormatting>
  <conditionalFormatting sqref="I5:I14">
    <cfRule type="expression" dxfId="23" priority="5">
      <formula>I5="✔ En objetivo"</formula>
    </cfRule>
    <cfRule type="expression" dxfId="22" priority="6">
      <formula>I5="▲ En seguimiento"</formula>
    </cfRule>
    <cfRule type="expression" dxfId="21" priority="7">
      <formula>I5="✖ Por debajo"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26" sqref="I26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21.109375" bestFit="1" customWidth="1"/>
    <col min="4" max="5" width="14" customWidth="1"/>
    <col min="6" max="7" width="12" customWidth="1"/>
    <col min="8" max="8" width="14" customWidth="1"/>
    <col min="9" max="9" width="16" customWidth="1"/>
  </cols>
  <sheetData>
    <row r="1" spans="1:9" ht="37.5" customHeight="1" x14ac:dyDescent="0.3">
      <c r="A1" s="35" t="s">
        <v>39</v>
      </c>
      <c r="B1" s="35"/>
      <c r="C1" s="35"/>
      <c r="D1" s="35"/>
      <c r="E1" s="35"/>
      <c r="F1" s="35"/>
      <c r="G1" s="35"/>
      <c r="H1" s="35"/>
      <c r="I1" s="35"/>
    </row>
    <row r="2" spans="1:9" ht="18" customHeight="1" x14ac:dyDescent="0.3">
      <c r="A2" s="36" t="s">
        <v>40</v>
      </c>
      <c r="B2" s="36"/>
      <c r="C2" s="36"/>
      <c r="D2" s="36"/>
      <c r="E2" s="36"/>
      <c r="F2" s="36"/>
      <c r="G2" s="36"/>
      <c r="H2" s="36"/>
      <c r="I2" s="36"/>
    </row>
    <row r="3" spans="1:9" ht="15.75" customHeight="1" x14ac:dyDescent="0.3">
      <c r="C3" s="13" t="s">
        <v>23</v>
      </c>
    </row>
    <row r="4" spans="1:9" ht="39.75" customHeight="1" x14ac:dyDescent="0.3">
      <c r="A4" s="14" t="s">
        <v>2</v>
      </c>
      <c r="B4" s="14" t="s">
        <v>41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31</v>
      </c>
    </row>
    <row r="5" spans="1:9" ht="24" customHeight="1" x14ac:dyDescent="0.3">
      <c r="A5" s="2" t="s">
        <v>9</v>
      </c>
      <c r="B5" s="4">
        <v>85000</v>
      </c>
      <c r="C5" s="15"/>
      <c r="D5" s="16"/>
      <c r="E5" s="17"/>
      <c r="F5" s="17"/>
      <c r="G5" s="17"/>
      <c r="H5" s="18" t="str">
        <f t="shared" ref="H5:H15" si="0">IF(C5="","",C5/B5)</f>
        <v/>
      </c>
      <c r="I5" s="19" t="str">
        <f t="shared" ref="I5:I14" si="1">IF(C5="","Sin datos",IF(H5&gt;=0.9,"✔ En objetivo",IF(H5&gt;=0.6,"▲ En seguimiento","✖ Por debajo")))</f>
        <v>Sin datos</v>
      </c>
    </row>
    <row r="6" spans="1:9" ht="24" customHeight="1" x14ac:dyDescent="0.3">
      <c r="A6" s="6" t="s">
        <v>10</v>
      </c>
      <c r="B6" s="8">
        <v>90000</v>
      </c>
      <c r="C6" s="15"/>
      <c r="D6" s="16"/>
      <c r="E6" s="17"/>
      <c r="F6" s="17"/>
      <c r="G6" s="17"/>
      <c r="H6" s="20" t="str">
        <f t="shared" si="0"/>
        <v/>
      </c>
      <c r="I6" s="21" t="str">
        <f t="shared" si="1"/>
        <v>Sin datos</v>
      </c>
    </row>
    <row r="7" spans="1:9" ht="24" customHeight="1" x14ac:dyDescent="0.3">
      <c r="A7" s="2" t="s">
        <v>11</v>
      </c>
      <c r="B7" s="4">
        <v>45000</v>
      </c>
      <c r="C7" s="15"/>
      <c r="D7" s="16"/>
      <c r="E7" s="17"/>
      <c r="F7" s="17"/>
      <c r="G7" s="17"/>
      <c r="H7" s="18" t="str">
        <f t="shared" si="0"/>
        <v/>
      </c>
      <c r="I7" s="19" t="str">
        <f t="shared" si="1"/>
        <v>Sin datos</v>
      </c>
    </row>
    <row r="8" spans="1:9" ht="24" customHeight="1" x14ac:dyDescent="0.3">
      <c r="A8" s="6" t="s">
        <v>12</v>
      </c>
      <c r="B8" s="8">
        <v>45000</v>
      </c>
      <c r="C8" s="15"/>
      <c r="D8" s="16"/>
      <c r="E8" s="17"/>
      <c r="F8" s="17"/>
      <c r="G8" s="17"/>
      <c r="H8" s="20" t="str">
        <f t="shared" si="0"/>
        <v/>
      </c>
      <c r="I8" s="21" t="str">
        <f t="shared" si="1"/>
        <v>Sin datos</v>
      </c>
    </row>
    <row r="9" spans="1:9" ht="24" customHeight="1" x14ac:dyDescent="0.3">
      <c r="A9" s="2" t="s">
        <v>13</v>
      </c>
      <c r="B9" s="4">
        <v>85000</v>
      </c>
      <c r="C9" s="15"/>
      <c r="D9" s="16"/>
      <c r="E9" s="17"/>
      <c r="F9" s="17"/>
      <c r="G9" s="17"/>
      <c r="H9" s="18" t="str">
        <f t="shared" si="0"/>
        <v/>
      </c>
      <c r="I9" s="19" t="str">
        <f t="shared" si="1"/>
        <v>Sin datos</v>
      </c>
    </row>
    <row r="10" spans="1:9" ht="24" customHeight="1" x14ac:dyDescent="0.3">
      <c r="A10" s="6" t="s">
        <v>14</v>
      </c>
      <c r="B10" s="8">
        <v>75000</v>
      </c>
      <c r="C10" s="15"/>
      <c r="D10" s="16"/>
      <c r="E10" s="17"/>
      <c r="F10" s="17"/>
      <c r="G10" s="17"/>
      <c r="H10" s="20" t="str">
        <f t="shared" si="0"/>
        <v/>
      </c>
      <c r="I10" s="21" t="str">
        <f t="shared" si="1"/>
        <v>Sin datos</v>
      </c>
    </row>
    <row r="11" spans="1:9" ht="24" customHeight="1" x14ac:dyDescent="0.3">
      <c r="A11" s="2" t="s">
        <v>15</v>
      </c>
      <c r="B11" s="4">
        <v>110000</v>
      </c>
      <c r="C11" s="15"/>
      <c r="D11" s="16"/>
      <c r="E11" s="17"/>
      <c r="F11" s="17"/>
      <c r="G11" s="17"/>
      <c r="H11" s="18" t="str">
        <f t="shared" si="0"/>
        <v/>
      </c>
      <c r="I11" s="19" t="str">
        <f t="shared" si="1"/>
        <v>Sin datos</v>
      </c>
    </row>
    <row r="12" spans="1:9" ht="24" customHeight="1" x14ac:dyDescent="0.3">
      <c r="A12" s="6" t="s">
        <v>16</v>
      </c>
      <c r="B12" s="8">
        <v>110000</v>
      </c>
      <c r="C12" s="15"/>
      <c r="D12" s="16"/>
      <c r="E12" s="17"/>
      <c r="F12" s="17"/>
      <c r="G12" s="17"/>
      <c r="H12" s="20" t="str">
        <f t="shared" si="0"/>
        <v/>
      </c>
      <c r="I12" s="21" t="str">
        <f t="shared" si="1"/>
        <v>Sin datos</v>
      </c>
    </row>
    <row r="13" spans="1:9" ht="24" customHeight="1" x14ac:dyDescent="0.3">
      <c r="A13" s="2" t="s">
        <v>17</v>
      </c>
      <c r="B13" s="4">
        <v>40000</v>
      </c>
      <c r="C13" s="15"/>
      <c r="D13" s="16"/>
      <c r="E13" s="17"/>
      <c r="F13" s="17"/>
      <c r="G13" s="17"/>
      <c r="H13" s="18" t="str">
        <f t="shared" si="0"/>
        <v/>
      </c>
      <c r="I13" s="19" t="str">
        <f t="shared" si="1"/>
        <v>Sin datos</v>
      </c>
    </row>
    <row r="14" spans="1:9" ht="24" customHeight="1" x14ac:dyDescent="0.3">
      <c r="A14" s="6" t="s">
        <v>18</v>
      </c>
      <c r="B14" s="8">
        <v>80000</v>
      </c>
      <c r="C14" s="15"/>
      <c r="D14" s="16"/>
      <c r="E14" s="17"/>
      <c r="F14" s="17"/>
      <c r="G14" s="17"/>
      <c r="H14" s="20" t="str">
        <f t="shared" si="0"/>
        <v/>
      </c>
      <c r="I14" s="21" t="str">
        <f t="shared" si="1"/>
        <v>Sin datos</v>
      </c>
    </row>
    <row r="15" spans="1:9" ht="27.75" customHeight="1" x14ac:dyDescent="0.3">
      <c r="A15" s="22" t="s">
        <v>19</v>
      </c>
      <c r="B15" s="11">
        <f t="shared" ref="B15:G15" si="2">SUM(B5:B14)</f>
        <v>765000</v>
      </c>
      <c r="C15" s="11">
        <f t="shared" si="2"/>
        <v>0</v>
      </c>
      <c r="D15" s="11">
        <f t="shared" si="2"/>
        <v>0</v>
      </c>
      <c r="E15" s="12">
        <f t="shared" si="2"/>
        <v>0</v>
      </c>
      <c r="F15" s="12">
        <f t="shared" si="2"/>
        <v>0</v>
      </c>
      <c r="G15" s="12">
        <f t="shared" si="2"/>
        <v>0</v>
      </c>
      <c r="H15" s="23">
        <f t="shared" si="0"/>
        <v>0</v>
      </c>
      <c r="I15" s="24"/>
    </row>
    <row r="16" spans="1:9" ht="7.5" customHeight="1" x14ac:dyDescent="0.3"/>
    <row r="17" spans="1:9" x14ac:dyDescent="0.3">
      <c r="A17" s="38" t="s">
        <v>32</v>
      </c>
      <c r="B17" s="38"/>
      <c r="C17" s="38"/>
      <c r="D17" s="38"/>
      <c r="E17" s="38"/>
      <c r="F17" s="38"/>
      <c r="G17" s="38"/>
      <c r="H17" s="38"/>
      <c r="I17" s="38"/>
    </row>
  </sheetData>
  <mergeCells count="3">
    <mergeCell ref="A1:I1"/>
    <mergeCell ref="A2:I2"/>
    <mergeCell ref="A17:I17"/>
  </mergeCells>
  <conditionalFormatting sqref="H5:H14">
    <cfRule type="cellIs" dxfId="20" priority="2" operator="greaterThanOrEqual">
      <formula>0.9</formula>
    </cfRule>
    <cfRule type="cellIs" dxfId="19" priority="3" operator="between">
      <formula>0.6</formula>
      <formula>0.8999</formula>
    </cfRule>
    <cfRule type="cellIs" dxfId="18" priority="4" operator="lessThan">
      <formula>0.6</formula>
    </cfRule>
  </conditionalFormatting>
  <conditionalFormatting sqref="I5:I14">
    <cfRule type="expression" dxfId="17" priority="5">
      <formula>I5="✔ En objetivo"</formula>
    </cfRule>
    <cfRule type="expression" dxfId="16" priority="6">
      <formula>I5="▲ En seguimiento"</formula>
    </cfRule>
    <cfRule type="expression" dxfId="15" priority="7">
      <formula>I5="✖ Por debajo"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7" sqref="L7"/>
    </sheetView>
  </sheetViews>
  <sheetFormatPr baseColWidth="10" defaultColWidth="8.6640625" defaultRowHeight="14.4" x14ac:dyDescent="0.3"/>
  <cols>
    <col min="1" max="1" width="22" customWidth="1"/>
    <col min="2" max="2" width="12" customWidth="1"/>
    <col min="3" max="8" width="14" customWidth="1"/>
    <col min="9" max="9" width="19.88671875" bestFit="1" customWidth="1"/>
    <col min="10" max="11" width="10.5546875" customWidth="1"/>
  </cols>
  <sheetData>
    <row r="1" spans="1:10" ht="37.5" customHeight="1" x14ac:dyDescent="0.3">
      <c r="A1" s="35" t="s">
        <v>42</v>
      </c>
      <c r="B1" s="35"/>
      <c r="C1" s="35"/>
      <c r="D1" s="35"/>
      <c r="E1" s="35"/>
      <c r="F1" s="35"/>
      <c r="G1" s="35"/>
      <c r="H1" s="35"/>
    </row>
    <row r="2" spans="1:10" ht="18" customHeight="1" x14ac:dyDescent="0.3">
      <c r="A2" s="36" t="s">
        <v>43</v>
      </c>
      <c r="B2" s="36"/>
      <c r="C2" s="36"/>
      <c r="D2" s="36"/>
      <c r="E2" s="36"/>
      <c r="F2" s="36"/>
      <c r="G2" s="36"/>
      <c r="H2" s="36"/>
    </row>
    <row r="3" spans="1:10" ht="7.5" customHeight="1" x14ac:dyDescent="0.3"/>
    <row r="4" spans="1:10" ht="31.5" customHeight="1" x14ac:dyDescent="0.3">
      <c r="A4" s="14" t="s">
        <v>2</v>
      </c>
      <c r="B4" s="14" t="s">
        <v>44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49</v>
      </c>
      <c r="H4" s="14" t="s">
        <v>50</v>
      </c>
      <c r="I4" s="14" t="s">
        <v>59</v>
      </c>
      <c r="J4" s="39" t="s">
        <v>60</v>
      </c>
    </row>
    <row r="5" spans="1:10" ht="24" customHeight="1" x14ac:dyDescent="0.3">
      <c r="A5" s="2" t="s">
        <v>9</v>
      </c>
      <c r="B5" s="25">
        <v>12</v>
      </c>
      <c r="C5" s="26">
        <v>4</v>
      </c>
      <c r="D5" s="26">
        <v>6</v>
      </c>
      <c r="E5" s="26"/>
      <c r="F5" s="26"/>
      <c r="G5" s="27" t="str">
        <f>IF(F5="","",F5/B5)</f>
        <v/>
      </c>
      <c r="H5" s="19" t="str">
        <f>IF(F5="","Sin datos",IF(F5&gt;=B5,"✔ Objetivo alcanzado",IF(F5&gt;=B5*0.6,"▲ En progreso","✖ Por debajo")))</f>
        <v>Sin datos</v>
      </c>
      <c r="I5" s="19" t="str">
        <f>IF(C5="","Sin datos",IF(C5&gt;=B5,"✔ Objetivo alcanzado",IF(C5&gt;=B5*0.6,"▲ En progreso","✖ Por debajo")))</f>
        <v>✖ Por debajo</v>
      </c>
      <c r="J5" s="41">
        <f>D5/B5</f>
        <v>0.5</v>
      </c>
    </row>
    <row r="6" spans="1:10" ht="24" customHeight="1" x14ac:dyDescent="0.3">
      <c r="A6" s="6" t="s">
        <v>10</v>
      </c>
      <c r="B6" s="28">
        <v>8</v>
      </c>
      <c r="C6" s="26">
        <v>0</v>
      </c>
      <c r="D6" s="26">
        <v>0</v>
      </c>
      <c r="E6" s="26"/>
      <c r="F6" s="26"/>
      <c r="G6" s="29" t="str">
        <f t="shared" ref="G5:G15" si="0">IF(F6="","",F6/B6)</f>
        <v/>
      </c>
      <c r="H6" s="21" t="str">
        <f t="shared" ref="H5:I14" si="1">IF(F6="","Sin datos",IF(F6&gt;=B6,"✔ Objetivo alcanzado",IF(F6&gt;=B6*0.6,"▲ En progreso","✖ Por debajo")))</f>
        <v>Sin datos</v>
      </c>
      <c r="I6" s="19" t="str">
        <f t="shared" ref="I6:I14" si="2">IF(C6="","Sin datos",IF(C6&gt;=B6,"✔ Objetivo alcanzado",IF(C6&gt;=B6*0.6,"▲ En progreso","✖ Por debajo")))</f>
        <v>✖ Por debajo</v>
      </c>
      <c r="J6" s="42">
        <f t="shared" ref="J6:J14" si="3">D6/B6</f>
        <v>0</v>
      </c>
    </row>
    <row r="7" spans="1:10" ht="24" customHeight="1" x14ac:dyDescent="0.3">
      <c r="A7" s="2" t="s">
        <v>11</v>
      </c>
      <c r="B7" s="25">
        <v>6</v>
      </c>
      <c r="C7" s="26">
        <v>0</v>
      </c>
      <c r="D7" s="26">
        <v>1</v>
      </c>
      <c r="E7" s="26"/>
      <c r="F7" s="26"/>
      <c r="G7" s="27" t="str">
        <f t="shared" si="0"/>
        <v/>
      </c>
      <c r="H7" s="19" t="str">
        <f t="shared" si="1"/>
        <v>Sin datos</v>
      </c>
      <c r="I7" s="19" t="str">
        <f t="shared" si="2"/>
        <v>✖ Por debajo</v>
      </c>
      <c r="J7" s="41">
        <f t="shared" si="3"/>
        <v>0.16666666666666666</v>
      </c>
    </row>
    <row r="8" spans="1:10" ht="24" customHeight="1" x14ac:dyDescent="0.3">
      <c r="A8" s="6" t="s">
        <v>12</v>
      </c>
      <c r="B8" s="28">
        <v>6</v>
      </c>
      <c r="C8" s="26">
        <v>1</v>
      </c>
      <c r="D8" s="26">
        <v>3</v>
      </c>
      <c r="E8" s="26"/>
      <c r="F8" s="26"/>
      <c r="G8" s="29" t="str">
        <f t="shared" si="0"/>
        <v/>
      </c>
      <c r="H8" s="21" t="str">
        <f t="shared" si="1"/>
        <v>Sin datos</v>
      </c>
      <c r="I8" s="19" t="str">
        <f t="shared" si="2"/>
        <v>✖ Por debajo</v>
      </c>
      <c r="J8" s="42">
        <f t="shared" si="3"/>
        <v>0.5</v>
      </c>
    </row>
    <row r="9" spans="1:10" ht="24" customHeight="1" x14ac:dyDescent="0.3">
      <c r="A9" s="2" t="s">
        <v>13</v>
      </c>
      <c r="B9" s="25">
        <v>10</v>
      </c>
      <c r="C9" s="26">
        <v>3</v>
      </c>
      <c r="D9" s="26">
        <v>5</v>
      </c>
      <c r="E9" s="26"/>
      <c r="F9" s="26"/>
      <c r="G9" s="27" t="str">
        <f t="shared" si="0"/>
        <v/>
      </c>
      <c r="H9" s="19" t="str">
        <f t="shared" si="1"/>
        <v>Sin datos</v>
      </c>
      <c r="I9" s="19" t="str">
        <f t="shared" si="2"/>
        <v>✖ Por debajo</v>
      </c>
      <c r="J9" s="41">
        <f t="shared" si="3"/>
        <v>0.5</v>
      </c>
    </row>
    <row r="10" spans="1:10" ht="24" customHeight="1" x14ac:dyDescent="0.3">
      <c r="A10" s="6" t="s">
        <v>14</v>
      </c>
      <c r="B10" s="28">
        <v>15</v>
      </c>
      <c r="C10" s="26">
        <v>5</v>
      </c>
      <c r="D10" s="26">
        <v>6</v>
      </c>
      <c r="E10" s="26"/>
      <c r="F10" s="26"/>
      <c r="G10" s="29" t="str">
        <f t="shared" si="0"/>
        <v/>
      </c>
      <c r="H10" s="21" t="str">
        <f t="shared" si="1"/>
        <v>Sin datos</v>
      </c>
      <c r="I10" s="19" t="str">
        <f t="shared" si="2"/>
        <v>✖ Por debajo</v>
      </c>
      <c r="J10" s="42">
        <f t="shared" si="3"/>
        <v>0.4</v>
      </c>
    </row>
    <row r="11" spans="1:10" ht="24" customHeight="1" x14ac:dyDescent="0.3">
      <c r="A11" s="2" t="s">
        <v>15</v>
      </c>
      <c r="B11" s="25">
        <v>8</v>
      </c>
      <c r="C11" s="26">
        <v>2</v>
      </c>
      <c r="D11" s="26">
        <v>5</v>
      </c>
      <c r="E11" s="26"/>
      <c r="F11" s="26"/>
      <c r="G11" s="27" t="str">
        <f t="shared" si="0"/>
        <v/>
      </c>
      <c r="H11" s="19" t="str">
        <f t="shared" si="1"/>
        <v>Sin datos</v>
      </c>
      <c r="I11" s="19" t="str">
        <f t="shared" si="2"/>
        <v>✖ Por debajo</v>
      </c>
      <c r="J11" s="41">
        <f t="shared" si="3"/>
        <v>0.625</v>
      </c>
    </row>
    <row r="12" spans="1:10" ht="24" customHeight="1" x14ac:dyDescent="0.3">
      <c r="A12" s="6" t="s">
        <v>16</v>
      </c>
      <c r="B12" s="28">
        <v>6</v>
      </c>
      <c r="C12" s="26">
        <v>0</v>
      </c>
      <c r="D12" s="26">
        <v>0</v>
      </c>
      <c r="E12" s="26"/>
      <c r="F12" s="26"/>
      <c r="G12" s="29" t="str">
        <f t="shared" si="0"/>
        <v/>
      </c>
      <c r="H12" s="21" t="str">
        <f t="shared" si="1"/>
        <v>Sin datos</v>
      </c>
      <c r="I12" s="19" t="str">
        <f t="shared" si="2"/>
        <v>✖ Por debajo</v>
      </c>
      <c r="J12" s="42">
        <f t="shared" si="3"/>
        <v>0</v>
      </c>
    </row>
    <row r="13" spans="1:10" ht="24" customHeight="1" x14ac:dyDescent="0.3">
      <c r="A13" s="2" t="s">
        <v>17</v>
      </c>
      <c r="B13" s="25">
        <v>7</v>
      </c>
      <c r="C13" s="26">
        <v>2</v>
      </c>
      <c r="D13" s="26">
        <v>4</v>
      </c>
      <c r="E13" s="26"/>
      <c r="F13" s="26"/>
      <c r="G13" s="27" t="str">
        <f t="shared" si="0"/>
        <v/>
      </c>
      <c r="H13" s="19" t="str">
        <f t="shared" si="1"/>
        <v>Sin datos</v>
      </c>
      <c r="I13" s="19" t="str">
        <f t="shared" si="2"/>
        <v>✖ Por debajo</v>
      </c>
      <c r="J13" s="41">
        <f t="shared" si="3"/>
        <v>0.5714285714285714</v>
      </c>
    </row>
    <row r="14" spans="1:10" ht="24" customHeight="1" x14ac:dyDescent="0.3">
      <c r="A14" s="6" t="s">
        <v>18</v>
      </c>
      <c r="B14" s="28">
        <v>16</v>
      </c>
      <c r="C14" s="26">
        <v>7</v>
      </c>
      <c r="D14" s="26">
        <v>9</v>
      </c>
      <c r="E14" s="26"/>
      <c r="F14" s="26"/>
      <c r="G14" s="29" t="str">
        <f t="shared" si="0"/>
        <v/>
      </c>
      <c r="H14" s="21" t="str">
        <f t="shared" si="1"/>
        <v>Sin datos</v>
      </c>
      <c r="I14" s="19" t="str">
        <f t="shared" si="2"/>
        <v>✖ Por debajo</v>
      </c>
      <c r="J14" s="42">
        <f t="shared" si="3"/>
        <v>0.5625</v>
      </c>
    </row>
    <row r="15" spans="1:10" ht="25.5" customHeight="1" x14ac:dyDescent="0.3">
      <c r="A15" s="30" t="s">
        <v>19</v>
      </c>
      <c r="B15" s="12">
        <f>SUM(B5:B14)</f>
        <v>94</v>
      </c>
      <c r="C15" s="12">
        <f>SUM(C5:C14)</f>
        <v>24</v>
      </c>
      <c r="D15" s="12">
        <f>SUM(D5:D14)</f>
        <v>39</v>
      </c>
      <c r="E15" s="12">
        <f>SUM(E5:E14)</f>
        <v>0</v>
      </c>
      <c r="F15" s="12">
        <f>SUM(F5:F14)</f>
        <v>0</v>
      </c>
      <c r="G15" s="31">
        <f t="shared" si="0"/>
        <v>0</v>
      </c>
      <c r="H15" s="24"/>
      <c r="I15" s="24"/>
      <c r="J15" s="40">
        <f>D15/B15</f>
        <v>0.41489361702127658</v>
      </c>
    </row>
  </sheetData>
  <mergeCells count="2">
    <mergeCell ref="A1:H1"/>
    <mergeCell ref="A2:H2"/>
  </mergeCells>
  <conditionalFormatting sqref="G5:G14">
    <cfRule type="cellIs" dxfId="14" priority="8" operator="greaterThanOrEqual">
      <formula>1</formula>
    </cfRule>
    <cfRule type="cellIs" dxfId="13" priority="9" operator="between">
      <formula>0.6</formula>
      <formula>0.9999</formula>
    </cfRule>
    <cfRule type="cellIs" dxfId="12" priority="10" operator="lessThan">
      <formula>0.6</formula>
    </cfRule>
  </conditionalFormatting>
  <conditionalFormatting sqref="H5:H14">
    <cfRule type="expression" dxfId="11" priority="11">
      <formula>H5="✔ Objetivo alcanzado"</formula>
    </cfRule>
    <cfRule type="expression" dxfId="10" priority="12">
      <formula>H5="▲ En progreso"</formula>
    </cfRule>
    <cfRule type="expression" dxfId="9" priority="13">
      <formula>H5="✖ Por debajo"</formula>
    </cfRule>
  </conditionalFormatting>
  <conditionalFormatting sqref="I5:I14">
    <cfRule type="expression" dxfId="5" priority="4">
      <formula>I5="✔ Objetivo alcanzado"</formula>
    </cfRule>
    <cfRule type="expression" dxfId="4" priority="5">
      <formula>I5="▲ En progreso"</formula>
    </cfRule>
    <cfRule type="expression" dxfId="3" priority="6">
      <formula>I5="✖ Por debajo"</formula>
    </cfRule>
  </conditionalFormatting>
  <conditionalFormatting sqref="J5:J14">
    <cfRule type="expression" dxfId="2" priority="1">
      <formula>J5="✔ Objetivo alcanzado"</formula>
    </cfRule>
    <cfRule type="expression" dxfId="1" priority="2">
      <formula>J5="▲ En progreso"</formula>
    </cfRule>
    <cfRule type="expression" dxfId="0" priority="3">
      <formula>J5="✖ Por debajo"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10" sqref="M10"/>
    </sheetView>
  </sheetViews>
  <sheetFormatPr baseColWidth="10" defaultColWidth="8.6640625" defaultRowHeight="14.4" x14ac:dyDescent="0.3"/>
  <cols>
    <col min="1" max="1" width="22" customWidth="1"/>
    <col min="2" max="6" width="14" customWidth="1"/>
    <col min="7" max="8" width="16" customWidth="1"/>
  </cols>
  <sheetData>
    <row r="1" spans="1:8" ht="37.5" customHeight="1" x14ac:dyDescent="0.3">
      <c r="A1" s="35" t="s">
        <v>51</v>
      </c>
      <c r="B1" s="35"/>
      <c r="C1" s="35"/>
      <c r="D1" s="35"/>
      <c r="E1" s="35"/>
      <c r="F1" s="35"/>
      <c r="G1" s="35"/>
      <c r="H1" s="35"/>
    </row>
    <row r="2" spans="1:8" ht="18" customHeight="1" x14ac:dyDescent="0.3">
      <c r="A2" s="36" t="s">
        <v>52</v>
      </c>
      <c r="B2" s="36"/>
      <c r="C2" s="36"/>
      <c r="D2" s="36"/>
      <c r="E2" s="36"/>
      <c r="F2" s="36"/>
      <c r="G2" s="36"/>
      <c r="H2" s="36"/>
    </row>
    <row r="3" spans="1:8" ht="7.5" customHeight="1" x14ac:dyDescent="0.3"/>
    <row r="4" spans="1:8" ht="31.5" customHeight="1" x14ac:dyDescent="0.3">
      <c r="A4" s="14" t="s">
        <v>2</v>
      </c>
      <c r="B4" s="14" t="s">
        <v>3</v>
      </c>
      <c r="C4" s="14" t="s">
        <v>53</v>
      </c>
      <c r="D4" s="14" t="s">
        <v>54</v>
      </c>
      <c r="E4" s="14" t="s">
        <v>55</v>
      </c>
      <c r="F4" s="14" t="s">
        <v>56</v>
      </c>
      <c r="G4" s="14" t="s">
        <v>57</v>
      </c>
      <c r="H4" s="14" t="s">
        <v>58</v>
      </c>
    </row>
    <row r="5" spans="1:8" ht="24" customHeight="1" x14ac:dyDescent="0.3">
      <c r="A5" s="2" t="s">
        <v>9</v>
      </c>
      <c r="B5" s="3">
        <v>250000</v>
      </c>
      <c r="C5" s="33">
        <f>IF('1T'!C5="",0,'1T'!C5)</f>
        <v>71572</v>
      </c>
      <c r="D5" s="32">
        <f>IF('2T'!C5="",0,'2T'!C5)</f>
        <v>15300</v>
      </c>
      <c r="E5" s="32">
        <f>IF('3T'!C5="",0,'3T'!C5)</f>
        <v>0</v>
      </c>
      <c r="F5" s="32">
        <f>IF('4T'!C5="",0,'4T'!C5)</f>
        <v>0</v>
      </c>
      <c r="G5" s="3">
        <f t="shared" ref="G5:G14" si="0">SUM(C5:F5)</f>
        <v>86872</v>
      </c>
      <c r="H5" s="18">
        <f t="shared" ref="H5:H15" si="1">IF(G5=0,"",G5/B5)</f>
        <v>0.34748800000000002</v>
      </c>
    </row>
    <row r="6" spans="1:8" ht="24" customHeight="1" x14ac:dyDescent="0.3">
      <c r="A6" s="6" t="s">
        <v>10</v>
      </c>
      <c r="B6" s="7">
        <v>250000</v>
      </c>
      <c r="C6" s="33">
        <f>IF('1T'!C6="",0,'1T'!C6)</f>
        <v>11790</v>
      </c>
      <c r="D6" s="33">
        <f>IF('2T'!C6="",0,'2T'!C6)</f>
        <v>1400</v>
      </c>
      <c r="E6" s="33">
        <f>IF('3T'!C6="",0,'3T'!C6)</f>
        <v>0</v>
      </c>
      <c r="F6" s="33">
        <f>IF('4T'!C6="",0,'4T'!C6)</f>
        <v>0</v>
      </c>
      <c r="G6" s="7">
        <f t="shared" si="0"/>
        <v>13190</v>
      </c>
      <c r="H6" s="20">
        <f t="shared" si="1"/>
        <v>5.2760000000000001E-2</v>
      </c>
    </row>
    <row r="7" spans="1:8" ht="24" customHeight="1" x14ac:dyDescent="0.3">
      <c r="A7" s="2" t="s">
        <v>11</v>
      </c>
      <c r="B7" s="3">
        <v>125000</v>
      </c>
      <c r="C7" s="32">
        <f>IF('1T'!C7="",0,'1T'!C7)</f>
        <v>21081.8</v>
      </c>
      <c r="D7" s="32">
        <f>IF('2T'!C7="",0,'2T'!C7)</f>
        <v>21050</v>
      </c>
      <c r="E7" s="32">
        <f>IF('3T'!C7="",0,'3T'!C7)</f>
        <v>0</v>
      </c>
      <c r="F7" s="32">
        <f>IF('4T'!C7="",0,'4T'!C7)</f>
        <v>0</v>
      </c>
      <c r="G7" s="3">
        <f t="shared" si="0"/>
        <v>42131.8</v>
      </c>
      <c r="H7" s="18">
        <f t="shared" si="1"/>
        <v>0.33705440000000003</v>
      </c>
    </row>
    <row r="8" spans="1:8" ht="24" customHeight="1" x14ac:dyDescent="0.3">
      <c r="A8" s="6" t="s">
        <v>12</v>
      </c>
      <c r="B8" s="7">
        <v>134000</v>
      </c>
      <c r="C8" s="33">
        <f>IF('1T'!C8="",0,'1T'!C8)</f>
        <v>6600</v>
      </c>
      <c r="D8" s="33">
        <f>IF('2T'!C8="",0,'2T'!C8)</f>
        <v>0</v>
      </c>
      <c r="E8" s="33">
        <f>IF('3T'!C8="",0,'3T'!C8)</f>
        <v>0</v>
      </c>
      <c r="F8" s="33">
        <f>IF('4T'!C8="",0,'4T'!C8)</f>
        <v>0</v>
      </c>
      <c r="G8" s="7">
        <f t="shared" si="0"/>
        <v>6600</v>
      </c>
      <c r="H8" s="20">
        <f t="shared" si="1"/>
        <v>4.9253731343283584E-2</v>
      </c>
    </row>
    <row r="9" spans="1:8" ht="24" customHeight="1" x14ac:dyDescent="0.3">
      <c r="A9" s="2" t="s">
        <v>13</v>
      </c>
      <c r="B9" s="3">
        <v>300000</v>
      </c>
      <c r="C9" s="32">
        <f>IF('1T'!C9="",0,'1T'!C9)</f>
        <v>107885</v>
      </c>
      <c r="D9" s="32">
        <f>IF('2T'!C9="",0,'2T'!C9)</f>
        <v>0</v>
      </c>
      <c r="E9" s="32">
        <f>IF('3T'!C9="",0,'3T'!C9)</f>
        <v>0</v>
      </c>
      <c r="F9" s="32">
        <f>IF('4T'!C9="",0,'4T'!C9)</f>
        <v>0</v>
      </c>
      <c r="G9" s="3">
        <f t="shared" si="0"/>
        <v>107885</v>
      </c>
      <c r="H9" s="18">
        <f t="shared" si="1"/>
        <v>0.35961666666666664</v>
      </c>
    </row>
    <row r="10" spans="1:8" ht="24" customHeight="1" x14ac:dyDescent="0.3">
      <c r="A10" s="6" t="s">
        <v>14</v>
      </c>
      <c r="B10" s="7">
        <v>250000</v>
      </c>
      <c r="C10" s="33">
        <f>IF('1T'!C10="",0,'1T'!C10)</f>
        <v>17085</v>
      </c>
      <c r="D10" s="33">
        <f>IF('2T'!C10="",0,'2T'!C10)</f>
        <v>2300</v>
      </c>
      <c r="E10" s="33">
        <f>IF('3T'!C10="",0,'3T'!C10)</f>
        <v>0</v>
      </c>
      <c r="F10" s="33">
        <f>IF('4T'!C10="",0,'4T'!C10)</f>
        <v>0</v>
      </c>
      <c r="G10" s="7">
        <f t="shared" si="0"/>
        <v>19385</v>
      </c>
      <c r="H10" s="20">
        <f t="shared" si="1"/>
        <v>7.7539999999999998E-2</v>
      </c>
    </row>
    <row r="11" spans="1:8" ht="24" customHeight="1" x14ac:dyDescent="0.3">
      <c r="A11" s="2" t="s">
        <v>15</v>
      </c>
      <c r="B11" s="3">
        <v>375000</v>
      </c>
      <c r="C11" s="32">
        <f>IF('1T'!C11="",0,'1T'!C11)</f>
        <v>74900</v>
      </c>
      <c r="D11" s="32">
        <f>IF('2T'!C11="",0,'2T'!C11)</f>
        <v>0</v>
      </c>
      <c r="E11" s="32">
        <f>IF('3T'!C11="",0,'3T'!C11)</f>
        <v>0</v>
      </c>
      <c r="F11" s="32">
        <f>IF('4T'!C11="",0,'4T'!C11)</f>
        <v>0</v>
      </c>
      <c r="G11" s="3">
        <f t="shared" si="0"/>
        <v>74900</v>
      </c>
      <c r="H11" s="18">
        <f t="shared" si="1"/>
        <v>0.19973333333333335</v>
      </c>
    </row>
    <row r="12" spans="1:8" ht="24" customHeight="1" x14ac:dyDescent="0.3">
      <c r="A12" s="6" t="s">
        <v>16</v>
      </c>
      <c r="B12" s="7">
        <v>375000</v>
      </c>
      <c r="C12" s="33">
        <f>IF('1T'!C12="",0,'1T'!C12)</f>
        <v>31030.17</v>
      </c>
      <c r="D12" s="33">
        <f>IF('2T'!C12="",0,'2T'!C12)</f>
        <v>38475</v>
      </c>
      <c r="E12" s="33">
        <f>IF('3T'!C12="",0,'3T'!C12)</f>
        <v>0</v>
      </c>
      <c r="F12" s="33">
        <f>IF('4T'!C12="",0,'4T'!C12)</f>
        <v>0</v>
      </c>
      <c r="G12" s="7">
        <f t="shared" si="0"/>
        <v>69505.17</v>
      </c>
      <c r="H12" s="20">
        <f t="shared" si="1"/>
        <v>0.18534712</v>
      </c>
    </row>
    <row r="13" spans="1:8" ht="24" customHeight="1" x14ac:dyDescent="0.3">
      <c r="A13" s="2" t="s">
        <v>17</v>
      </c>
      <c r="B13" s="3">
        <v>120000</v>
      </c>
      <c r="C13" s="32">
        <f>IF('1T'!C13="",0,'1T'!C13)</f>
        <v>3280</v>
      </c>
      <c r="D13" s="32">
        <f>IF('2T'!C13="",0,'2T'!C13)</f>
        <v>0</v>
      </c>
      <c r="E13" s="32">
        <f>IF('3T'!C13="",0,'3T'!C13)</f>
        <v>0</v>
      </c>
      <c r="F13" s="32">
        <f>IF('4T'!C13="",0,'4T'!C13)</f>
        <v>0</v>
      </c>
      <c r="G13" s="3">
        <f t="shared" si="0"/>
        <v>3280</v>
      </c>
      <c r="H13" s="18">
        <f t="shared" si="1"/>
        <v>2.7333333333333334E-2</v>
      </c>
    </row>
    <row r="14" spans="1:8" ht="24" customHeight="1" x14ac:dyDescent="0.3">
      <c r="A14" s="6" t="s">
        <v>18</v>
      </c>
      <c r="B14" s="7">
        <v>250000</v>
      </c>
      <c r="C14" s="33">
        <f>IF('1T'!C14="",0,'1T'!C14)</f>
        <v>11730</v>
      </c>
      <c r="D14" s="33">
        <f>IF('2T'!C14="",0,'2T'!C14)</f>
        <v>2650</v>
      </c>
      <c r="E14" s="33">
        <f>IF('3T'!C14="",0,'3T'!C14)</f>
        <v>0</v>
      </c>
      <c r="F14" s="33">
        <f>IF('4T'!C14="",0,'4T'!C14)</f>
        <v>0</v>
      </c>
      <c r="G14" s="7">
        <f t="shared" si="0"/>
        <v>14380</v>
      </c>
      <c r="H14" s="20">
        <f t="shared" si="1"/>
        <v>5.7520000000000002E-2</v>
      </c>
    </row>
    <row r="15" spans="1:8" ht="27.75" customHeight="1" x14ac:dyDescent="0.3">
      <c r="A15" s="30" t="s">
        <v>19</v>
      </c>
      <c r="B15" s="11">
        <f t="shared" ref="B15:G15" si="2">SUM(B5:B14)</f>
        <v>2429000</v>
      </c>
      <c r="C15" s="11">
        <f t="shared" si="2"/>
        <v>356953.97</v>
      </c>
      <c r="D15" s="11">
        <f t="shared" si="2"/>
        <v>81175</v>
      </c>
      <c r="E15" s="11">
        <f t="shared" si="2"/>
        <v>0</v>
      </c>
      <c r="F15" s="11">
        <f t="shared" si="2"/>
        <v>0</v>
      </c>
      <c r="G15" s="11">
        <f t="shared" si="2"/>
        <v>438128.97</v>
      </c>
      <c r="H15" s="34">
        <f t="shared" si="1"/>
        <v>0.18037421572663648</v>
      </c>
    </row>
  </sheetData>
  <mergeCells count="2">
    <mergeCell ref="A1:H1"/>
    <mergeCell ref="A2:H2"/>
  </mergeCells>
  <conditionalFormatting sqref="H5:H14">
    <cfRule type="cellIs" dxfId="8" priority="2" operator="greaterThanOrEqual">
      <formula>0.9</formula>
    </cfRule>
    <cfRule type="cellIs" dxfId="7" priority="3" operator="between">
      <formula>0.6</formula>
      <formula>0.8999</formula>
    </cfRule>
    <cfRule type="cellIs" dxfId="6" priority="4" operator="lessThan">
      <formula>0.6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Ejecutivo</vt:lpstr>
      <vt:lpstr>1T</vt:lpstr>
      <vt:lpstr>2T</vt:lpstr>
      <vt:lpstr>3T</vt:lpstr>
      <vt:lpstr>4T</vt:lpstr>
      <vt:lpstr>Canal AAFF</vt:lpstr>
      <vt:lpstr>Consolidado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Rodrigo Güelfo Antona</cp:lastModifiedBy>
  <cp:revision>0</cp:revision>
  <dcterms:created xsi:type="dcterms:W3CDTF">2026-05-24T08:38:13Z</dcterms:created>
  <dcterms:modified xsi:type="dcterms:W3CDTF">2026-05-25T12:05:48Z</dcterms:modified>
  <dc:language>en-US</dc:language>
</cp:coreProperties>
</file>